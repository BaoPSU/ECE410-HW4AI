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za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2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Manual INT8 Symmetric Quantization Assignment</t>
        </is>
      </c>
    </row>
    <row r="3">
      <c r="A3" s="2" t="inlineStr">
        <is>
          <t>INPUT: Original Matrix W (FP32)</t>
        </is>
      </c>
      <c r="F3" s="2" t="inlineStr">
        <is>
          <t>TASK 1: Scale Factor</t>
        </is>
      </c>
    </row>
    <row r="4">
      <c r="A4" s="3" t="n">
        <v>0.85</v>
      </c>
      <c r="B4" s="3" t="n">
        <v>-1.2</v>
      </c>
      <c r="C4" s="3" t="n">
        <v>0.34</v>
      </c>
      <c r="D4" s="3" t="n">
        <v>2.1</v>
      </c>
      <c r="F4" t="inlineStr">
        <is>
          <t>Max |W|</t>
        </is>
      </c>
      <c r="G4" s="4">
        <f>MAX(ABS(A4),ABS(B4),ABS(C4),ABS(D4),ABS(A5),ABS(B5),ABS(C5),ABS(D5),ABS(A6),ABS(B6),ABS(C6),ABS(D6),ABS(A7),ABS(B7),ABS(C7),ABS(D7))</f>
        <v/>
      </c>
    </row>
    <row r="5">
      <c r="A5" s="3" t="n">
        <v>-0.07000000000000001</v>
      </c>
      <c r="B5" s="3" t="n">
        <v>0.91</v>
      </c>
      <c r="C5" s="3" t="n">
        <v>-1.88</v>
      </c>
      <c r="D5" s="3" t="n">
        <v>0.12</v>
      </c>
      <c r="F5" t="inlineStr">
        <is>
          <t>S = Max / 127</t>
        </is>
      </c>
      <c r="G5" s="5">
        <f>G4/127</f>
        <v/>
      </c>
    </row>
    <row r="6">
      <c r="A6" s="3" t="n">
        <v>1.55</v>
      </c>
      <c r="B6" s="3" t="n">
        <v>0.03</v>
      </c>
      <c r="C6" s="3" t="n">
        <v>-0.44</v>
      </c>
      <c r="D6" s="3" t="n">
        <v>-2.31</v>
      </c>
      <c r="G6" s="4" t="n"/>
    </row>
    <row r="7">
      <c r="A7" s="3" t="n">
        <v>-0.18</v>
      </c>
      <c r="B7" s="3" t="n">
        <v>1.03</v>
      </c>
      <c r="C7" s="3" t="n">
        <v>0.77</v>
      </c>
      <c r="D7" s="3" t="n">
        <v>0.55</v>
      </c>
      <c r="G7" s="4" t="n"/>
    </row>
    <row r="8">
      <c r="G8" s="4" t="n"/>
    </row>
    <row r="9">
      <c r="A9" t="inlineStr">
        <is>
          <t>TASK 2: Quantized W_q (INT8)</t>
        </is>
      </c>
      <c r="F9" t="inlineStr">
        <is>
          <t>TASK 3: Dequantized W_deq (FP32)</t>
        </is>
      </c>
      <c r="G9" s="4" t="n"/>
    </row>
    <row r="10">
      <c r="A10" s="6">
        <f>MAX(-128, MIN(127, ROUND(A4/$G$5, 0)))</f>
        <v/>
      </c>
      <c r="B10" s="6">
        <f>MAX(-128, MIN(127, ROUND(B4/$G$5, 0)))</f>
        <v/>
      </c>
      <c r="C10" s="6">
        <f>MAX(-128, MIN(127, ROUND(C4/$G$5, 0)))</f>
        <v/>
      </c>
      <c r="D10" s="6">
        <f>MAX(-128, MIN(127, ROUND(D4/$G$5, 0)))</f>
        <v/>
      </c>
      <c r="F10" s="7">
        <f>A10*$G$5</f>
        <v/>
      </c>
      <c r="G10" s="7">
        <f>B10*$G$5</f>
        <v/>
      </c>
      <c r="H10" s="7">
        <f>C10*$G$5</f>
        <v/>
      </c>
      <c r="I10" s="7">
        <f>D10*$G$5</f>
        <v/>
      </c>
    </row>
    <row r="11">
      <c r="A11" s="6">
        <f>MAX(-128, MIN(127, ROUND(A5/$G$5, 0)))</f>
        <v/>
      </c>
      <c r="B11" s="6">
        <f>MAX(-128, MIN(127, ROUND(B5/$G$5, 0)))</f>
        <v/>
      </c>
      <c r="C11" s="6">
        <f>MAX(-128, MIN(127, ROUND(C5/$G$5, 0)))</f>
        <v/>
      </c>
      <c r="D11" s="6">
        <f>MAX(-128, MIN(127, ROUND(D5/$G$5, 0)))</f>
        <v/>
      </c>
      <c r="F11" s="7">
        <f>A11*$G$5</f>
        <v/>
      </c>
      <c r="G11" s="7">
        <f>B11*$G$5</f>
        <v/>
      </c>
      <c r="H11" s="7">
        <f>C11*$G$5</f>
        <v/>
      </c>
      <c r="I11" s="7">
        <f>D11*$G$5</f>
        <v/>
      </c>
    </row>
    <row r="12">
      <c r="A12" s="6">
        <f>MAX(-128, MIN(127, ROUND(A6/$G$5, 0)))</f>
        <v/>
      </c>
      <c r="B12" s="6">
        <f>MAX(-128, MIN(127, ROUND(B6/$G$5, 0)))</f>
        <v/>
      </c>
      <c r="C12" s="6">
        <f>MAX(-128, MIN(127, ROUND(C6/$G$5, 0)))</f>
        <v/>
      </c>
      <c r="D12" s="6">
        <f>MAX(-128, MIN(127, ROUND(D6/$G$5, 0)))</f>
        <v/>
      </c>
      <c r="F12" s="7">
        <f>A12*$G$5</f>
        <v/>
      </c>
      <c r="G12" s="7">
        <f>B12*$G$5</f>
        <v/>
      </c>
      <c r="H12" s="7">
        <f>C12*$G$5</f>
        <v/>
      </c>
      <c r="I12" s="7">
        <f>D12*$G$5</f>
        <v/>
      </c>
    </row>
    <row r="13">
      <c r="A13" s="6">
        <f>MAX(-128, MIN(127, ROUND(A7/$G$5, 0)))</f>
        <v/>
      </c>
      <c r="B13" s="6">
        <f>MAX(-128, MIN(127, ROUND(B7/$G$5, 0)))</f>
        <v/>
      </c>
      <c r="C13" s="6">
        <f>MAX(-128, MIN(127, ROUND(C7/$G$5, 0)))</f>
        <v/>
      </c>
      <c r="D13" s="6">
        <f>MAX(-128, MIN(127, ROUND(D7/$G$5, 0)))</f>
        <v/>
      </c>
      <c r="F13" s="7">
        <f>A13*$G$5</f>
        <v/>
      </c>
      <c r="G13" s="7">
        <f>B13*$G$5</f>
        <v/>
      </c>
      <c r="H13" s="7">
        <f>C13*$G$5</f>
        <v/>
      </c>
      <c r="I13" s="7">
        <f>D13*$G$5</f>
        <v/>
      </c>
    </row>
    <row r="14">
      <c r="G14" s="4" t="n"/>
    </row>
    <row r="15">
      <c r="A15" t="inlineStr">
        <is>
          <t>TASK 4: Abs Error |W - W_deq|</t>
        </is>
      </c>
      <c r="G15" s="4" t="n"/>
    </row>
    <row r="16">
      <c r="A16" s="4">
        <f>ABS(A4-F10)</f>
        <v/>
      </c>
      <c r="B16" s="4">
        <f>ABS(B4-G10)</f>
        <v/>
      </c>
      <c r="C16" s="4">
        <f>ABS(C4-H10)</f>
        <v/>
      </c>
      <c r="D16" s="4">
        <f>ABS(D4-I10)</f>
        <v/>
      </c>
      <c r="F16" t="inlineStr">
        <is>
          <t>MAE (Correct S)</t>
        </is>
      </c>
      <c r="G16" s="4">
        <f>AVERAGE(A16:D19)</f>
        <v/>
      </c>
    </row>
    <row r="17">
      <c r="A17" s="4">
        <f>ABS(A5-F11)</f>
        <v/>
      </c>
      <c r="B17" s="4">
        <f>ABS(B5-G11)</f>
        <v/>
      </c>
      <c r="C17" s="4">
        <f>ABS(C5-H11)</f>
        <v/>
      </c>
      <c r="D17" s="4">
        <f>ABS(D5-I11)</f>
        <v/>
      </c>
      <c r="G17" s="4" t="n"/>
    </row>
    <row r="18">
      <c r="A18" s="4">
        <f>ABS(A6-F12)</f>
        <v/>
      </c>
      <c r="B18" s="4">
        <f>ABS(B6-G12)</f>
        <v/>
      </c>
      <c r="C18" s="4">
        <f>ABS(C6-H12)</f>
        <v/>
      </c>
      <c r="D18" s="4">
        <f>ABS(D6-I12)</f>
        <v/>
      </c>
      <c r="G18" s="4" t="n"/>
    </row>
    <row r="19">
      <c r="A19" s="4">
        <f>ABS(A7-F13)</f>
        <v/>
      </c>
      <c r="B19" s="4">
        <f>ABS(B7-G13)</f>
        <v/>
      </c>
      <c r="C19" s="4">
        <f>ABS(C7-H13)</f>
        <v/>
      </c>
      <c r="D19" s="4">
        <f>ABS(D7-I13)</f>
        <v/>
      </c>
      <c r="G19" s="4" t="n"/>
    </row>
    <row r="20">
      <c r="G20" s="4" t="n"/>
    </row>
    <row r="21">
      <c r="A21" t="inlineStr">
        <is>
          <t>TASK 5: Bad Scale Experiment</t>
        </is>
      </c>
      <c r="F21" t="inlineStr">
        <is>
          <t>S_bad</t>
        </is>
      </c>
      <c r="G21" s="4" t="n">
        <v>0.01</v>
      </c>
    </row>
    <row r="22">
      <c r="G22" s="4" t="n"/>
    </row>
    <row r="23">
      <c r="A23" s="8">
        <f>MAX(-128, MIN(127, ROUND(A4/$G$21, 0)))</f>
        <v/>
      </c>
      <c r="B23" s="8">
        <f>MAX(-128, MIN(127, ROUND(B4/$G$21, 0)))</f>
        <v/>
      </c>
      <c r="C23" s="8">
        <f>MAX(-128, MIN(127, ROUND(C4/$G$21, 0)))</f>
        <v/>
      </c>
      <c r="D23" s="8">
        <f>MAX(-128, MIN(127, ROUND(D4/$G$21, 0)))</f>
        <v/>
      </c>
      <c r="F23" s="7">
        <f>A23*$G$21</f>
        <v/>
      </c>
      <c r="G23" s="7">
        <f>B23*$G$21</f>
        <v/>
      </c>
      <c r="H23" s="7">
        <f>C23*$G$21</f>
        <v/>
      </c>
      <c r="I23" s="7">
        <f>D23*$G$21</f>
        <v/>
      </c>
    </row>
    <row r="24">
      <c r="A24" s="8">
        <f>MAX(-128, MIN(127, ROUND(A5/$G$21, 0)))</f>
        <v/>
      </c>
      <c r="B24" s="8">
        <f>MAX(-128, MIN(127, ROUND(B5/$G$21, 0)))</f>
        <v/>
      </c>
      <c r="C24" s="8">
        <f>MAX(-128, MIN(127, ROUND(C5/$G$21, 0)))</f>
        <v/>
      </c>
      <c r="D24" s="8">
        <f>MAX(-128, MIN(127, ROUND(D5/$G$21, 0)))</f>
        <v/>
      </c>
      <c r="F24" s="7">
        <f>A24*$G$21</f>
        <v/>
      </c>
      <c r="G24" s="7">
        <f>B24*$G$21</f>
        <v/>
      </c>
      <c r="H24" s="7">
        <f>C24*$G$21</f>
        <v/>
      </c>
      <c r="I24" s="7">
        <f>D24*$G$21</f>
        <v/>
      </c>
    </row>
    <row r="25">
      <c r="A25" s="8">
        <f>MAX(-128, MIN(127, ROUND(A6/$G$21, 0)))</f>
        <v/>
      </c>
      <c r="B25" s="8">
        <f>MAX(-128, MIN(127, ROUND(B6/$G$21, 0)))</f>
        <v/>
      </c>
      <c r="C25" s="8">
        <f>MAX(-128, MIN(127, ROUND(C6/$G$21, 0)))</f>
        <v/>
      </c>
      <c r="D25" s="8">
        <f>MAX(-128, MIN(127, ROUND(D6/$G$21, 0)))</f>
        <v/>
      </c>
      <c r="F25" s="7">
        <f>A25*$G$21</f>
        <v/>
      </c>
      <c r="G25" s="7">
        <f>B25*$G$21</f>
        <v/>
      </c>
      <c r="H25" s="7">
        <f>C25*$G$21</f>
        <v/>
      </c>
      <c r="I25" s="7">
        <f>D25*$G$21</f>
        <v/>
      </c>
    </row>
    <row r="26">
      <c r="A26" s="8">
        <f>MAX(-128, MIN(127, ROUND(A7/$G$21, 0)))</f>
        <v/>
      </c>
      <c r="B26" s="8">
        <f>MAX(-128, MIN(127, ROUND(B7/$G$21, 0)))</f>
        <v/>
      </c>
      <c r="C26" s="8">
        <f>MAX(-128, MIN(127, ROUND(C7/$G$21, 0)))</f>
        <v/>
      </c>
      <c r="D26" s="8">
        <f>MAX(-128, MIN(127, ROUND(D7/$G$21, 0)))</f>
        <v/>
      </c>
      <c r="F26" s="7">
        <f>A26*$G$21</f>
        <v/>
      </c>
      <c r="G26" s="7">
        <f>B26*$G$21</f>
        <v/>
      </c>
      <c r="H26" s="7">
        <f>C26*$G$21</f>
        <v/>
      </c>
      <c r="I26" s="7">
        <f>D26*$G$21</f>
        <v/>
      </c>
    </row>
    <row r="27">
      <c r="G27" s="4" t="n"/>
    </row>
    <row r="28">
      <c r="F28" t="inlineStr">
        <is>
          <t>MAE (Bad S)</t>
        </is>
      </c>
      <c r="G28" s="4">
        <f>(ABS(A4-F23)+ABS(B4-G23)+ABS(C4-H23)+ABS(D4-I23)+ABS(A5-F24)+ABS(B5-G24)+ABS(C5-H24)+ABS(D5-I24)+ABS(A6-F25)+ABS(B6-G25)+ABS(C6-H25)+ABS(D6-I25)+ABS(A7-F26)+ABS(B7-G26)+ABS(C7-H26)+ABS(D7-I26))/16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2026-04-22T20:21:04Z</dcterms:created>
  <dcterms:modified xmlns:dcterms="http://purl.org/dc/terms/" xmlns:xsi="http://www.w3.org/2001/XMLSchema-instance" xsi:type="dcterms:W3CDTF">2026-04-22T20:21:04Z</dcterms:modified>
</cp:coreProperties>
</file>