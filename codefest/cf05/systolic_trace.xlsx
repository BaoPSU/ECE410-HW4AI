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1 - Setup &amp; Verification" sheetId="1" state="visible" r:id="rId3"/>
    <sheet name="2 - PE Weights" sheetId="2" state="visible" r:id="rId4"/>
    <sheet name="3 - Cycle Trace" sheetId="3" state="visible" r:id="rId5"/>
    <sheet name="4 - Coun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<sst xmlns="http://schemas.openxmlformats.org/spreadsheetml/2006/main" count="344" uniqueCount="203">
  <si>
    <t xml:space="preserve">CF05 — Weight-Stationary 2×2 Systolic Array</t>
  </si>
  <si>
    <t xml:space="preserve">Matrix A  (2×2)</t>
  </si>
  <si>
    <t xml:space="preserve">Matrix B  (2×2, weights)</t>
  </si>
  <si>
    <t xml:space="preserve">Expected  C = A×B</t>
  </si>
  <si>
    <t xml:space="preserve">Col 0</t>
  </si>
  <si>
    <t xml:space="preserve">Col 1</t>
  </si>
  <si>
    <t xml:space="preserve">Row 0</t>
  </si>
  <si>
    <t xml:space="preserve">Row 1</t>
  </si>
  <si>
    <t xml:space="preserve">Step-by-Step Verification:  C[i][j] = Σ A[i][k] × B[k][j]</t>
  </si>
  <si>
    <t xml:space="preserve">Element</t>
  </si>
  <si>
    <t xml:space="preserve">Formula</t>
  </si>
  <si>
    <t xml:space="preserve">A[i][0]</t>
  </si>
  <si>
    <t xml:space="preserve">×</t>
  </si>
  <si>
    <t xml:space="preserve">B[0][j]</t>
  </si>
  <si>
    <t xml:space="preserve">+</t>
  </si>
  <si>
    <t xml:space="preserve">A[i][1]</t>
  </si>
  <si>
    <t xml:space="preserve">B[1][j]</t>
  </si>
  <si>
    <t xml:space="preserve">=</t>
  </si>
  <si>
    <t xml:space="preserve">Sum</t>
  </si>
  <si>
    <t xml:space="preserve">Expected</t>
  </si>
  <si>
    <t xml:space="preserve">Match?</t>
  </si>
  <si>
    <t xml:space="preserve">C[0][0]</t>
  </si>
  <si>
    <t xml:space="preserve">A[0][0]×B[0][0] + A[0][1]×B[1][0]</t>
  </si>
  <si>
    <t xml:space="preserve">C[0][1]</t>
  </si>
  <si>
    <t xml:space="preserve">A[0][0]×B[0][1] + A[0][1]×B[1][1]</t>
  </si>
  <si>
    <t xml:space="preserve">C[1][0]</t>
  </si>
  <si>
    <t xml:space="preserve">A[1][0]×B[0][0] + A[1][1]×B[1][0]</t>
  </si>
  <si>
    <t xml:space="preserve">C[1][1]</t>
  </si>
  <si>
    <t xml:space="preserve">A[1][0]×B[0][1] + A[1][1]×B[1][1]</t>
  </si>
  <si>
    <t xml:space="preserve">PE Weight Assignment:  PE[i][j] preloads B[i][j]</t>
  </si>
  <si>
    <t xml:space="preserve">Preloaded Weight Grid</t>
  </si>
  <si>
    <t xml:space="preserve">Column 0  (n=0)</t>
  </si>
  <si>
    <t xml:space="preserve">Column 1  (n=1)</t>
  </si>
  <si>
    <t xml:space="preserve">Role in C output</t>
  </si>
  <si>
    <t xml:space="preserve">Row 0
(k=0)</t>
  </si>
  <si>
    <t xml:space="preserve">PE[0][0]
weight = B[0][0] = 5</t>
  </si>
  <si>
    <t xml:space="preserve">PE[0][1]
weight = B[0][1] = 6</t>
  </si>
  <si>
    <t xml:space="preserve">Row 1
(k=1)</t>
  </si>
  <si>
    <t xml:space="preserve">PE[1][0]
weight = B[1][0] = 7</t>
  </si>
  <si>
    <t xml:space="preserve">PE[1][1]
weight = B[1][1] = 8</t>
  </si>
  <si>
    <t xml:space="preserve">Individual PE Detail</t>
  </si>
  <si>
    <t xml:space="preserve">PE</t>
  </si>
  <si>
    <t xml:space="preserve">Weight Source</t>
  </si>
  <si>
    <t xml:space="preserve">Weight Value</t>
  </si>
  <si>
    <t xml:space="preserve">Computes contribution to …</t>
  </si>
  <si>
    <t xml:space="preserve">PE[0][0]</t>
  </si>
  <si>
    <t xml:space="preserve">B[0][0]</t>
  </si>
  <si>
    <t xml:space="preserve">C[0][0] and C[1][0]  (k=0 term for column 0)</t>
  </si>
  <si>
    <t xml:space="preserve">PE[0][1]</t>
  </si>
  <si>
    <t xml:space="preserve">B[0][1]</t>
  </si>
  <si>
    <t xml:space="preserve">C[0][1] and C[1][1]  (k=0 term for column 1)</t>
  </si>
  <si>
    <t xml:space="preserve">PE[1][0]</t>
  </si>
  <si>
    <t xml:space="preserve">B[1][0]</t>
  </si>
  <si>
    <t xml:space="preserve">C[0][0] and C[1][0]  (k=1 term for column 0)</t>
  </si>
  <si>
    <t xml:space="preserve">PE Operation Rule (every active cycle)</t>
  </si>
  <si>
    <t xml:space="preserve">partial_sum_out  =  partial_sum_in  +  ( input  ×  weight )</t>
  </si>
  <si>
    <t xml:space="preserve">• partial_sum_in comes from the PE directly above (0 for Row 0)     • input is the A element broadcast into this row from the left</t>
  </si>
  <si>
    <t xml:space="preserve">Cycle-by-Cycle Dataflow Trace  |  C = A × B  |  Weight-Stationary</t>
  </si>
  <si>
    <t xml:space="preserve">Summary Table</t>
  </si>
  <si>
    <t xml:space="preserve">Cycle</t>
  </si>
  <si>
    <t xml:space="preserve">Input → Row 0</t>
  </si>
  <si>
    <t xml:space="preserve">Input → Row 1</t>
  </si>
  <si>
    <t xml:space="preserve">PE[0][0]  partial sum</t>
  </si>
  <si>
    <t xml:space="preserve">PE[0][1]  partial sum</t>
  </si>
  <si>
    <t xml:space="preserve">PE[1][0]  partial sum</t>
  </si>
  <si>
    <t xml:space="preserve">PE[1][1]  partial sum</t>
  </si>
  <si>
    <t xml:space="preserve">Output C</t>
  </si>
  <si>
    <t xml:space="preserve">A[0][0] = 1</t>
  </si>
  <si>
    <t xml:space="preserve">bubble (0)</t>
  </si>
  <si>
    <t xml:space="preserve">0+(1×5)=5</t>
  </si>
  <si>
    <t xml:space="preserve">0+(1×6)=6</t>
  </si>
  <si>
    <t xml:space="preserve">0+(0×7)=0</t>
  </si>
  <si>
    <t xml:space="preserve">0+(0×8)=0</t>
  </si>
  <si>
    <t xml:space="preserve">—</t>
  </si>
  <si>
    <t xml:space="preserve">A[0][1] = 2</t>
  </si>
  <si>
    <t xml:space="preserve">holds 5</t>
  </si>
  <si>
    <t xml:space="preserve">holds 6</t>
  </si>
  <si>
    <t xml:space="preserve">5+(2×7)=19</t>
  </si>
  <si>
    <t xml:space="preserve">6+(2×8)=22</t>
  </si>
  <si>
    <t xml:space="preserve">C[0]=[19, 22]</t>
  </si>
  <si>
    <t xml:space="preserve">A[1][0] = 3</t>
  </si>
  <si>
    <t xml:space="preserve">0+(3×5)=15</t>
  </si>
  <si>
    <t xml:space="preserve">0+(3×6)=18</t>
  </si>
  <si>
    <t xml:space="preserve">A[1][1] = 4</t>
  </si>
  <si>
    <t xml:space="preserve">holds 15</t>
  </si>
  <si>
    <t xml:space="preserve">holds 18</t>
  </si>
  <si>
    <t xml:space="preserve">15+(4×7)=43</t>
  </si>
  <si>
    <t xml:space="preserve">18+(4×8)=50</t>
  </si>
  <si>
    <t xml:space="preserve">C[1]=[43, 50]</t>
  </si>
  <si>
    <t xml:space="preserve">CYCLE 1  |  Row 0 input: A[0][0] = 1   |   Row 1 input: bubble = 0</t>
  </si>
  <si>
    <t xml:space="preserve">ps_in (from above)</t>
  </si>
  <si>
    <t xml:space="preserve">input (from left)</t>
  </si>
  <si>
    <t xml:space="preserve">weight (fixed)</t>
  </si>
  <si>
    <t xml:space="preserve">Calculation</t>
  </si>
  <si>
    <t xml:space="preserve">ps_out / Result</t>
  </si>
  <si>
    <t xml:space="preserve">Notes / Output</t>
  </si>
  <si>
    <t xml:space="preserve">0 + (1 × 5) = 0 + 5 = 5</t>
  </si>
  <si>
    <t xml:space="preserve">→ 0 + (1 × 5) = 5</t>
  </si>
  <si>
    <t xml:space="preserve">0 + (1 × 6) = 0 + 6 = 6</t>
  </si>
  <si>
    <t xml:space="preserve">→ 0 + (1 × 6) = 6</t>
  </si>
  <si>
    <t xml:space="preserve">0 + (0 × 7) = 0 + 0 = 0</t>
  </si>
  <si>
    <t xml:space="preserve">→ 0 + (0 × 7) = 0  [bubble]</t>
  </si>
  <si>
    <t xml:space="preserve">PE[1][1]</t>
  </si>
  <si>
    <t xml:space="preserve">0 + (0 × 8) = 0 + 0 = 0</t>
  </si>
  <si>
    <t xml:space="preserve">→ 0 + (0 × 8) = 0  [bubble]</t>
  </si>
  <si>
    <t xml:space="preserve">⟹  No output</t>
  </si>
  <si>
    <t xml:space="preserve">CYCLE 2  |  Row 0 input: bubble = 0   |   Row 1 input: A[0][1] = 2</t>
  </si>
  <si>
    <t xml:space="preserve">holds partial sum = 5 (drains to PE[1][0])</t>
  </si>
  <si>
    <t xml:space="preserve">holds partial sum = 6 (drains to PE[1][1])</t>
  </si>
  <si>
    <t xml:space="preserve">5 + (2 × 7) = 5 + 14 = 19</t>
  </si>
  <si>
    <t xml:space="preserve">→ 5 + (2 × 7) = 5 + 14 = 19  → C[0][0]</t>
  </si>
  <si>
    <t xml:space="preserve">6 + (2 × 8) = 6 + 16 = 22</t>
  </si>
  <si>
    <t xml:space="preserve">→ 6 + (2 × 8) = 6 + 16 = 22  → C[0][1]</t>
  </si>
  <si>
    <t xml:space="preserve">⟹  OUTPUT  C[0] = [19, 22]</t>
  </si>
  <si>
    <t xml:space="preserve">CYCLE 3  |  Row 0 input: A[1][0] = 3   |   Row 1 input: bubble = 0</t>
  </si>
  <si>
    <t xml:space="preserve">0 + (3 × 5) = 0 + 15 = 15</t>
  </si>
  <si>
    <t xml:space="preserve">→ 0 + (3 × 5) = 15  [row 0 partial sum reset]</t>
  </si>
  <si>
    <t xml:space="preserve">0 + (3 × 6) = 0 + 18 = 18</t>
  </si>
  <si>
    <t xml:space="preserve">→ 0 + (3 × 6) = 18  [row 0 partial sum reset]</t>
  </si>
  <si>
    <t xml:space="preserve">→ 0 + (0 × 7) = 0   [bubble / reset]</t>
  </si>
  <si>
    <t xml:space="preserve">→ 0 + (0 × 8) = 0   [bubble / reset]</t>
  </si>
  <si>
    <t xml:space="preserve">CYCLE 4  |  Row 0 input: bubble = 0   |   Row 1 input: A[1][1] = 4</t>
  </si>
  <si>
    <t xml:space="preserve">holds partial sum = 15 (drains to PE[1][0])</t>
  </si>
  <si>
    <t xml:space="preserve">holds partial sum = 18 (drains to PE[1][1])</t>
  </si>
  <si>
    <t xml:space="preserve">15 + (4 × 7) = 15 + 28 = 43</t>
  </si>
  <si>
    <t xml:space="preserve">→ 15 + (4 × 7) = 15 + 28 = 43  → C[1][0]</t>
  </si>
  <si>
    <t xml:space="preserve">18 + (4 × 8) = 18 + 32 = 50</t>
  </si>
  <si>
    <t xml:space="preserve">→ 18 + (4 × 8) = 18 + 32 = 50  → C[1][1]</t>
  </si>
  <si>
    <t xml:space="preserve">⟹  OUTPUT  C[1] = [43, 50]</t>
  </si>
  <si>
    <t xml:space="preserve">CF05 Counts  —  MAC Operations · Input Reuse · Off-Chip Accesses</t>
  </si>
  <si>
    <t xml:space="preserve">(a)  Total MAC Operations</t>
  </si>
  <si>
    <t xml:space="preserve">#</t>
  </si>
  <si>
    <t xml:space="preserve">ps_in</t>
  </si>
  <si>
    <t xml:space="preserve">input × weight</t>
  </si>
  <si>
    <t xml:space="preserve">product</t>
  </si>
  <si>
    <t xml:space="preserve">ps_out  (=MAC result)</t>
  </si>
  <si>
    <t xml:space="preserve">MAC #1</t>
  </si>
  <si>
    <t xml:space="preserve">1 × 5</t>
  </si>
  <si>
    <t xml:space="preserve">MAC #2</t>
  </si>
  <si>
    <t xml:space="preserve">1 × 6</t>
  </si>
  <si>
    <t xml:space="preserve">MAC #3</t>
  </si>
  <si>
    <t xml:space="preserve">2 × 7</t>
  </si>
  <si>
    <t xml:space="preserve">MAC #4</t>
  </si>
  <si>
    <t xml:space="preserve">2 × 8</t>
  </si>
  <si>
    <t xml:space="preserve">MAC #5</t>
  </si>
  <si>
    <t xml:space="preserve">3 × 5</t>
  </si>
  <si>
    <t xml:space="preserve">MAC #6</t>
  </si>
  <si>
    <t xml:space="preserve">3 × 6</t>
  </si>
  <si>
    <t xml:space="preserve">MAC #7</t>
  </si>
  <si>
    <t xml:space="preserve">4 × 7</t>
  </si>
  <si>
    <t xml:space="preserve">MAC #8</t>
  </si>
  <si>
    <t xml:space="preserve">4 × 8</t>
  </si>
  <si>
    <t xml:space="preserve">TOTAL MAC OPERATIONS  =  8</t>
  </si>
  <si>
    <t xml:space="preserve">Cross-check:  M × K × N = 2 × 2 × 2 = 8  ✓   (every A×B element contributes exactly one MAC)</t>
  </si>
  <si>
    <t xml:space="preserve">(b)  Input Value Reuse</t>
  </si>
  <si>
    <t xml:space="preserve">A element</t>
  </si>
  <si>
    <t xml:space="preserve">Value</t>
  </si>
  <si>
    <t xml:space="preserve">Cycle used</t>
  </si>
  <si>
    <t xml:space="preserve">PE use #1</t>
  </si>
  <si>
    <t xml:space="preserve">Computation #1</t>
  </si>
  <si>
    <t xml:space="preserve">PE use #2</t>
  </si>
  <si>
    <t xml:space="preserve">Computation #2</t>
  </si>
  <si>
    <t xml:space="preserve">A[0][0]</t>
  </si>
  <si>
    <t xml:space="preserve">1 × 5 = 5</t>
  </si>
  <si>
    <t xml:space="preserve">1 × 6 = 6</t>
  </si>
  <si>
    <t xml:space="preserve">A[0][1]</t>
  </si>
  <si>
    <t xml:space="preserve">2 × 7 = 14</t>
  </si>
  <si>
    <t xml:space="preserve">2 × 8 = 16</t>
  </si>
  <si>
    <t xml:space="preserve">A[1][0]</t>
  </si>
  <si>
    <t xml:space="preserve">3 × 5 = 15</t>
  </si>
  <si>
    <t xml:space="preserve">3 × 6 = 18</t>
  </si>
  <si>
    <t xml:space="preserve">A[1][1]</t>
  </si>
  <si>
    <t xml:space="preserve">4 × 7 = 28</t>
  </si>
  <si>
    <t xml:space="preserve">4 × 8 = 32</t>
  </si>
  <si>
    <t xml:space="preserve">Each input value is fetched ONCE from off-chip and used by 2 PEs  →  reuse factor = 2×</t>
  </si>
  <si>
    <t xml:space="preserve">(c)  Off-Chip Memory Accesses</t>
  </si>
  <si>
    <t xml:space="preserve">A  —  Input reads  (fetched during streaming)</t>
  </si>
  <si>
    <t xml:space="preserve">Fetched at cycle</t>
  </si>
  <si>
    <t xml:space="preserve">PE(s) served</t>
  </si>
  <si>
    <t xml:space="preserve">Access type</t>
  </si>
  <si>
    <t xml:space="preserve">Count</t>
  </si>
  <si>
    <t xml:space="preserve">PE[0][0], PE[0][1]</t>
  </si>
  <si>
    <t xml:space="preserve">off-chip read</t>
  </si>
  <si>
    <t xml:space="preserve">PE[1][0], PE[1][1]</t>
  </si>
  <si>
    <t xml:space="preserve">A subtotal:</t>
  </si>
  <si>
    <t xml:space="preserve">reads</t>
  </si>
  <si>
    <t xml:space="preserve">B  —  Weight preloads  (loaded once before compute begins)</t>
  </si>
  <si>
    <t xml:space="preserve">Loaded into PE</t>
  </si>
  <si>
    <t xml:space="preserve">Re-fetched during compute?</t>
  </si>
  <si>
    <t xml:space="preserve">No — stays fixed</t>
  </si>
  <si>
    <t xml:space="preserve">off-chip read (preload)</t>
  </si>
  <si>
    <t xml:space="preserve">B[1][1]</t>
  </si>
  <si>
    <t xml:space="preserve">B subtotal:</t>
  </si>
  <si>
    <t xml:space="preserve">C  —  Output writes  (written when bottom row produces result)</t>
  </si>
  <si>
    <t xml:space="preserve">Written at cycle</t>
  </si>
  <si>
    <t xml:space="preserve">Produced by</t>
  </si>
  <si>
    <t xml:space="preserve">off-chip write</t>
  </si>
  <si>
    <t xml:space="preserve">C subtotal:</t>
  </si>
  <si>
    <t xml:space="preserve">writes</t>
  </si>
  <si>
    <t xml:space="preserve">GRAND TOTAL off-chip accesses:</t>
  </si>
  <si>
    <t xml:space="preserve">total</t>
  </si>
  <si>
    <t xml:space="preserve">(d)  Output-Stationary: What would stay fixed?</t>
  </si>
  <si>
    <t xml:space="preserve">In output-stationary dataflow, the partial sum for each output element C[i][j] stays fixed inside its dedicated PE, while both the A row elements and B column elements stream through — so the accumulated output values (partial sums) would be stationary rather than the weights.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</si>
</sst>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000000"/>
      <name val="Cambria"/>
      <family val="0"/>
      <charset val="1"/>
    </font>
    <font>
      <sz val="12"/>
      <color rgb="FF000000"/>
      <name val="Cambria"/>
      <family val="0"/>
      <charset val="1"/>
    </font>
    <font>
      <b val="true"/>
      <sz val="12"/>
      <color rgb="FF000000"/>
      <name val="Cambria"/>
      <family val="0"/>
      <charset val="1"/>
    </font>
    <font>
      <sz val="11"/>
      <color rgb="FF000000"/>
      <name val="Cambria"/>
      <family val="0"/>
      <charset val="1"/>
    </font>
    <font>
      <b val="true"/>
      <sz val="11"/>
      <color rgb="FF375623"/>
      <name val="Cambria"/>
      <family val="0"/>
      <charset val="1"/>
    </font>
    <font>
      <b val="true"/>
      <sz val="13"/>
      <color rgb="FFFFFFFF"/>
      <name val="Cambria"/>
      <family val="0"/>
      <charset val="1"/>
    </font>
    <font>
      <i val="true"/>
      <sz val="11"/>
      <color rgb="FF000000"/>
      <name val="Cambria"/>
      <family val="0"/>
      <charset val="1"/>
    </font>
    <font>
      <i val="true"/>
      <sz val="11"/>
      <color rgb="FF595959"/>
      <name val="Cambria"/>
      <family val="0"/>
      <charset val="1"/>
    </font>
    <font>
      <b val="true"/>
      <sz val="12"/>
      <color rgb="FF595959"/>
      <name val="Cambria"/>
      <family val="0"/>
      <charset val="1"/>
    </font>
    <font>
      <i val="true"/>
      <sz val="11"/>
      <color rgb="FF375623"/>
      <name val="Cambria"/>
      <family val="0"/>
      <charset val="1"/>
    </font>
    <font>
      <b val="true"/>
      <sz val="12"/>
      <color rgb="FF375623"/>
      <name val="Cambria"/>
      <family val="0"/>
      <charset val="1"/>
    </font>
    <font>
      <b val="true"/>
      <sz val="14"/>
      <color rgb="FF375623"/>
      <name val="Cambria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0066CC"/>
      </patternFill>
    </fill>
    <fill>
      <patternFill patternType="solid">
        <fgColor rgb="FF375623"/>
        <bgColor rgb="FF595959"/>
      </patternFill>
    </fill>
    <fill>
      <patternFill patternType="solid">
        <fgColor rgb="FFBDD7EE"/>
        <bgColor rgb="FF99CCFF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DEEAF1"/>
      </patternFill>
    </fill>
    <fill>
      <patternFill patternType="solid">
        <fgColor rgb="FFDEEAF1"/>
        <bgColor rgb="FFE2EFDA"/>
      </patternFill>
    </fill>
    <fill>
      <patternFill patternType="solid">
        <fgColor rgb="FFFFE699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EEAF1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6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.31"/>
    <col collapsed="false" customWidth="true" hidden="false" outlineLevel="0" max="2" min="2" style="0" width="33.94"/>
    <col collapsed="false" customWidth="true" hidden="false" outlineLevel="0" max="4" min="3" style="0" width="10"/>
    <col collapsed="false" customWidth="true" hidden="false" outlineLevel="0" max="5" min="5" style="0" width="12.23"/>
    <col collapsed="false" customWidth="true" hidden="false" outlineLevel="0" max="6" min="6" style="0" width="14"/>
    <col collapsed="false" customWidth="true" hidden="false" outlineLevel="0" max="8" min="7" style="0" width="10"/>
    <col collapsed="false" customWidth="true" hidden="false" outlineLevel="0" max="9" min="9" style="0" width="10.29"/>
    <col collapsed="false" customWidth="true" hidden="false" outlineLevel="0" max="10" min="10" style="0" width="14"/>
    <col collapsed="false" customWidth="true" hidden="false" outlineLevel="0" max="12" min="11" style="0" width="10"/>
    <col collapsed="false" customWidth="true" hidden="false" outlineLevel="0" max="13" min="13" style="0" width="13.76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/>
    <row r="3" customFormat="false" ht="19.5" hidden="false" customHeight="true" outlineLevel="0" collapsed="false">
      <c r="A3" s="2" t="s">
        <v>1</v>
      </c>
      <c r="B3" s="2"/>
      <c r="C3" s="2"/>
      <c r="D3" s="2"/>
      <c r="F3" s="2" t="s">
        <v>2</v>
      </c>
      <c r="G3" s="2"/>
      <c r="H3" s="2"/>
      <c r="I3" s="2"/>
      <c r="K3" s="3" t="s">
        <v>3</v>
      </c>
      <c r="L3" s="3"/>
      <c r="M3" s="3"/>
    </row>
    <row r="4" customFormat="false" ht="19.5" hidden="false" customHeight="true" outlineLevel="0" collapsed="false">
      <c r="A4" s="4"/>
      <c r="B4" s="4" t="s">
        <v>4</v>
      </c>
      <c r="C4" s="4" t="s">
        <v>5</v>
      </c>
      <c r="F4" s="4"/>
      <c r="G4" s="4" t="s">
        <v>4</v>
      </c>
      <c r="H4" s="4" t="s">
        <v>5</v>
      </c>
      <c r="K4" s="5"/>
      <c r="L4" s="5" t="s">
        <v>4</v>
      </c>
      <c r="M4" s="5" t="s">
        <v>5</v>
      </c>
    </row>
    <row r="5" customFormat="false" ht="19.5" hidden="false" customHeight="true" outlineLevel="0" collapsed="false">
      <c r="A5" s="6" t="s">
        <v>6</v>
      </c>
      <c r="B5" s="7" t="n">
        <v>1</v>
      </c>
      <c r="C5" s="7" t="n">
        <v>2</v>
      </c>
      <c r="F5" s="6" t="s">
        <v>6</v>
      </c>
      <c r="G5" s="7" t="n">
        <v>5</v>
      </c>
      <c r="H5" s="7" t="n">
        <v>6</v>
      </c>
      <c r="K5" s="8" t="s">
        <v>6</v>
      </c>
      <c r="L5" s="9" t="n">
        <v>19</v>
      </c>
      <c r="M5" s="9" t="n">
        <v>22</v>
      </c>
    </row>
    <row r="6" customFormat="false" ht="19.5" hidden="false" customHeight="true" outlineLevel="0" collapsed="false">
      <c r="A6" s="6" t="s">
        <v>7</v>
      </c>
      <c r="B6" s="7" t="n">
        <v>3</v>
      </c>
      <c r="C6" s="7" t="n">
        <v>4</v>
      </c>
      <c r="F6" s="6" t="s">
        <v>7</v>
      </c>
      <c r="G6" s="7" t="n">
        <v>7</v>
      </c>
      <c r="H6" s="7" t="n">
        <v>8</v>
      </c>
      <c r="K6" s="8" t="s">
        <v>7</v>
      </c>
      <c r="L6" s="9" t="n">
        <v>43</v>
      </c>
      <c r="M6" s="9" t="n">
        <v>50</v>
      </c>
    </row>
    <row r="7" customFormat="false" ht="19.5" hidden="false" customHeight="true" outlineLevel="0" collapsed="false"/>
    <row r="8" customFormat="false" ht="19.5" hidden="false" customHeight="true" outlineLevel="0" collapsed="false"/>
    <row r="9" customFormat="false" ht="24" hidden="false" customHeight="true" outlineLevel="0" collapsed="false">
      <c r="A9" s="2" t="s">
        <v>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</row>
    <row r="10" customFormat="false" ht="21.75" hidden="false" customHeight="true" outlineLevel="0" collapsed="false">
      <c r="A10" s="6" t="s">
        <v>9</v>
      </c>
      <c r="B10" s="6" t="s">
        <v>10</v>
      </c>
      <c r="C10" s="6" t="s">
        <v>11</v>
      </c>
      <c r="D10" s="6" t="s">
        <v>12</v>
      </c>
      <c r="E10" s="6" t="s">
        <v>13</v>
      </c>
      <c r="F10" s="6" t="s">
        <v>14</v>
      </c>
      <c r="G10" s="6" t="s">
        <v>15</v>
      </c>
      <c r="H10" s="6" t="s">
        <v>12</v>
      </c>
      <c r="I10" s="6" t="s">
        <v>16</v>
      </c>
      <c r="J10" s="6" t="s">
        <v>17</v>
      </c>
      <c r="K10" s="6" t="s">
        <v>18</v>
      </c>
      <c r="L10" s="6" t="s">
        <v>19</v>
      </c>
      <c r="M10" s="6" t="s">
        <v>20</v>
      </c>
    </row>
    <row r="11" customFormat="false" ht="19.5" hidden="false" customHeight="true" outlineLevel="0" collapsed="false">
      <c r="A11" s="10" t="s">
        <v>21</v>
      </c>
      <c r="B11" s="11" t="s">
        <v>22</v>
      </c>
      <c r="C11" s="12" t="n">
        <f aca="false">B5</f>
        <v>1</v>
      </c>
      <c r="D11" s="12" t="s">
        <v>12</v>
      </c>
      <c r="E11" s="12" t="n">
        <f aca="false">G5</f>
        <v>5</v>
      </c>
      <c r="F11" s="12" t="s">
        <v>14</v>
      </c>
      <c r="G11" s="12" t="n">
        <f aca="false">C5</f>
        <v>2</v>
      </c>
      <c r="H11" s="12" t="s">
        <v>12</v>
      </c>
      <c r="I11" s="12" t="n">
        <f aca="false">G6</f>
        <v>7</v>
      </c>
      <c r="J11" s="12" t="s">
        <v>17</v>
      </c>
      <c r="K11" s="13" t="n">
        <f aca="false">C11*E11+G11*I11</f>
        <v>19</v>
      </c>
      <c r="L11" s="8" t="n">
        <v>19</v>
      </c>
      <c r="M11" s="14" t="str">
        <f aca="false">IF(K11=L11,"✓ PASS","✗ FAIL")</f>
        <v>✓ PASS</v>
      </c>
    </row>
    <row r="12" customFormat="false" ht="19.5" hidden="false" customHeight="true" outlineLevel="0" collapsed="false">
      <c r="A12" s="15" t="s">
        <v>23</v>
      </c>
      <c r="B12" s="16" t="s">
        <v>24</v>
      </c>
      <c r="C12" s="17" t="n">
        <f aca="false">B5</f>
        <v>1</v>
      </c>
      <c r="D12" s="17" t="s">
        <v>12</v>
      </c>
      <c r="E12" s="17" t="n">
        <f aca="false">H5</f>
        <v>6</v>
      </c>
      <c r="F12" s="17" t="s">
        <v>14</v>
      </c>
      <c r="G12" s="17" t="n">
        <f aca="false">C5</f>
        <v>2</v>
      </c>
      <c r="H12" s="17" t="s">
        <v>12</v>
      </c>
      <c r="I12" s="17" t="n">
        <f aca="false">H6</f>
        <v>8</v>
      </c>
      <c r="J12" s="17" t="s">
        <v>17</v>
      </c>
      <c r="K12" s="13" t="n">
        <f aca="false">C12*E12+G12*I12</f>
        <v>22</v>
      </c>
      <c r="L12" s="8" t="n">
        <v>22</v>
      </c>
      <c r="M12" s="14" t="str">
        <f aca="false">IF(K12=L12,"✓ PASS","✗ FAIL")</f>
        <v>✓ PASS</v>
      </c>
    </row>
    <row r="13" customFormat="false" ht="19.5" hidden="false" customHeight="true" outlineLevel="0" collapsed="false">
      <c r="A13" s="10" t="s">
        <v>25</v>
      </c>
      <c r="B13" s="11" t="s">
        <v>26</v>
      </c>
      <c r="C13" s="12" t="n">
        <f aca="false">B6</f>
        <v>3</v>
      </c>
      <c r="D13" s="12" t="s">
        <v>12</v>
      </c>
      <c r="E13" s="12" t="n">
        <f aca="false">G5</f>
        <v>5</v>
      </c>
      <c r="F13" s="12" t="s">
        <v>14</v>
      </c>
      <c r="G13" s="12" t="n">
        <f aca="false">C6</f>
        <v>4</v>
      </c>
      <c r="H13" s="12" t="s">
        <v>12</v>
      </c>
      <c r="I13" s="12" t="n">
        <f aca="false">G6</f>
        <v>7</v>
      </c>
      <c r="J13" s="12" t="s">
        <v>17</v>
      </c>
      <c r="K13" s="13" t="n">
        <f aca="false">C13*E13+G13*I13</f>
        <v>43</v>
      </c>
      <c r="L13" s="8" t="n">
        <v>43</v>
      </c>
      <c r="M13" s="14" t="str">
        <f aca="false">IF(K13=L13,"✓ PASS","✗ FAIL")</f>
        <v>✓ PASS</v>
      </c>
    </row>
    <row r="14" customFormat="false" ht="19.5" hidden="false" customHeight="true" outlineLevel="0" collapsed="false">
      <c r="A14" s="15" t="s">
        <v>27</v>
      </c>
      <c r="B14" s="16" t="s">
        <v>28</v>
      </c>
      <c r="C14" s="17" t="n">
        <f aca="false">B6</f>
        <v>3</v>
      </c>
      <c r="D14" s="17" t="s">
        <v>12</v>
      </c>
      <c r="E14" s="17" t="n">
        <f aca="false">H5</f>
        <v>6</v>
      </c>
      <c r="F14" s="17" t="s">
        <v>14</v>
      </c>
      <c r="G14" s="17" t="n">
        <f aca="false">C6</f>
        <v>4</v>
      </c>
      <c r="H14" s="17" t="s">
        <v>12</v>
      </c>
      <c r="I14" s="17" t="n">
        <f aca="false">H6</f>
        <v>8</v>
      </c>
      <c r="J14" s="17" t="s">
        <v>17</v>
      </c>
      <c r="K14" s="13" t="n">
        <f aca="false">C14*E14+G14*I14</f>
        <v>50</v>
      </c>
      <c r="L14" s="8" t="n">
        <v>50</v>
      </c>
      <c r="M14" s="14" t="str">
        <f aca="false">IF(K14=L14,"✓ PASS","✗ FAIL")</f>
        <v>✓ PASS</v>
      </c>
    </row>
    <row r="15" customFormat="false" ht="19.5" hidden="false" customHeight="true" outlineLevel="0" collapsed="false"/>
    <row r="16" customFormat="false" ht="19.5" hidden="false" customHeight="true" outlineLevel="0" collapsed="false"/>
    <row r="17" customFormat="false" ht="19.5" hidden="false" customHeight="true" outlineLevel="0" collapsed="false"/>
    <row r="18" customFormat="false" ht="19.5" hidden="false" customHeight="true" outlineLevel="0" collapsed="false"/>
    <row r="19" customFormat="false" ht="19.5" hidden="false" customHeight="true" outlineLevel="0" collapsed="false"/>
    <row r="20" customFormat="false" ht="19.5" hidden="false" customHeight="true" outlineLevel="0" collapsed="false"/>
    <row r="21" customFormat="false" ht="19.5" hidden="false" customHeight="true" outlineLevel="0" collapsed="false"/>
    <row r="22" customFormat="false" ht="19.5" hidden="false" customHeight="true" outlineLevel="0" collapsed="false"/>
    <row r="23" customFormat="false" ht="19.5" hidden="false" customHeight="true" outlineLevel="0" collapsed="false"/>
    <row r="24" customFormat="false" ht="19.5" hidden="false" customHeight="true" outlineLevel="0" collapsed="false"/>
    <row r="25" customFormat="false" ht="19.5" hidden="false" customHeight="true" outlineLevel="0" collapsed="false"/>
    <row r="26" customFormat="false" ht="19.5" hidden="false" customHeight="true" outlineLevel="0" collapsed="false"/>
    <row r="27" customFormat="false" ht="19.5" hidden="false" customHeight="true" outlineLevel="0" collapsed="false"/>
    <row r="28" customFormat="false" ht="19.5" hidden="false" customHeight="true" outlineLevel="0" collapsed="false"/>
    <row r="29" customFormat="false" ht="19.5" hidden="false" customHeight="true" outlineLevel="0" collapsed="false"/>
    <row r="30" customFormat="false" ht="19.5" hidden="false" customHeight="true" outlineLevel="0" collapsed="false"/>
    <row r="31" customFormat="false" ht="19.5" hidden="false" customHeight="true" outlineLevel="0" collapsed="false"/>
    <row r="32" customFormat="false" ht="19.5" hidden="false" customHeight="true" outlineLevel="0" collapsed="false"/>
    <row r="33" customFormat="false" ht="19.5" hidden="false" customHeight="true" outlineLevel="0" collapsed="false"/>
    <row r="34" customFormat="false" ht="19.5" hidden="false" customHeight="true" outlineLevel="0" collapsed="false"/>
    <row r="35" customFormat="false" ht="19.5" hidden="false" customHeight="true" outlineLevel="0" collapsed="false"/>
    <row r="36" customFormat="false" ht="19.5" hidden="false" customHeight="true" outlineLevel="0" collapsed="false"/>
    <row r="37" customFormat="false" ht="19.5" hidden="false" customHeight="true" outlineLevel="0" collapsed="false"/>
    <row r="38" customFormat="false" ht="19.5" hidden="false" customHeight="true" outlineLevel="0" collapsed="false"/>
    <row r="39" customFormat="false" ht="19.5" hidden="false" customHeight="true" outlineLevel="0" collapsed="false"/>
    <row r="40" customFormat="false" ht="19.5" hidden="false" customHeight="true" outlineLevel="0" collapsed="false"/>
    <row r="41" customFormat="false" ht="19.5" hidden="false" customHeight="true" outlineLevel="0" collapsed="false"/>
    <row r="42" customFormat="false" ht="19.5" hidden="false" customHeight="true" outlineLevel="0" collapsed="false"/>
    <row r="43" customFormat="false" ht="19.5" hidden="false" customHeight="true" outlineLevel="0" collapsed="false"/>
    <row r="44" customFormat="false" ht="19.5" hidden="false" customHeight="true" outlineLevel="0" collapsed="false"/>
    <row r="45" customFormat="false" ht="19.5" hidden="false" customHeight="true" outlineLevel="0" collapsed="false"/>
    <row r="46" customFormat="false" ht="19.5" hidden="false" customHeight="true" outlineLevel="0" collapsed="false"/>
    <row r="47" customFormat="false" ht="19.5" hidden="false" customHeight="true" outlineLevel="0" collapsed="false"/>
    <row r="48" customFormat="false" ht="19.5" hidden="false" customHeight="true" outlineLevel="0" collapsed="false"/>
    <row r="49" customFormat="false" ht="19.5" hidden="false" customHeight="true" outlineLevel="0" collapsed="false"/>
    <row r="50" customFormat="false" ht="19.5" hidden="false" customHeight="true" outlineLevel="0" collapsed="false"/>
    <row r="51" customFormat="false" ht="19.5" hidden="false" customHeight="true" outlineLevel="0" collapsed="false"/>
    <row r="52" customFormat="false" ht="19.5" hidden="false" customHeight="true" outlineLevel="0" collapsed="false"/>
    <row r="53" customFormat="false" ht="19.5" hidden="false" customHeight="true" outlineLevel="0" collapsed="false"/>
    <row r="54" customFormat="false" ht="19.5" hidden="false" customHeight="true" outlineLevel="0" collapsed="false"/>
    <row r="55" customFormat="false" ht="19.5" hidden="false" customHeight="true" outlineLevel="0" collapsed="false"/>
    <row r="56" customFormat="false" ht="19.5" hidden="false" customHeight="true" outlineLevel="0" collapsed="false"/>
    <row r="57" customFormat="false" ht="19.5" hidden="false" customHeight="true" outlineLevel="0" collapsed="false"/>
    <row r="58" customFormat="false" ht="19.5" hidden="false" customHeight="true" outlineLevel="0" collapsed="false"/>
    <row r="59" customFormat="false" ht="19.5" hidden="false" customHeight="true" outlineLevel="0" collapsed="false"/>
  </sheetData>
  <mergeCells count="5">
    <mergeCell ref="A1:M1"/>
    <mergeCell ref="A3:D3"/>
    <mergeCell ref="F3:I3"/>
    <mergeCell ref="K3:M3"/>
    <mergeCell ref="A9:M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.19"/>
    <col collapsed="false" customWidth="true" hidden="false" outlineLevel="0" max="2" min="2" style="0" width="35.19"/>
    <col collapsed="false" customWidth="true" hidden="false" outlineLevel="0" max="3" min="3" style="0" width="34.5"/>
    <col collapsed="false" customWidth="true" hidden="false" outlineLevel="0" max="4" min="4" style="0" width="51.34"/>
  </cols>
  <sheetData>
    <row r="1" customFormat="false" ht="30" hidden="false" customHeight="true" outlineLevel="0" collapsed="false">
      <c r="A1" s="18" t="s">
        <v>29</v>
      </c>
      <c r="B1" s="18"/>
      <c r="C1" s="18"/>
      <c r="D1" s="18"/>
    </row>
    <row r="2" customFormat="false" ht="21.75" hidden="false" customHeight="true" outlineLevel="0" collapsed="false"/>
    <row r="3" customFormat="false" ht="21.75" hidden="false" customHeight="true" outlineLevel="0" collapsed="false">
      <c r="A3" s="2" t="s">
        <v>30</v>
      </c>
      <c r="B3" s="2"/>
      <c r="C3" s="2"/>
      <c r="D3" s="2"/>
    </row>
    <row r="4" customFormat="false" ht="21.75" hidden="false" customHeight="true" outlineLevel="0" collapsed="false">
      <c r="A4" s="4"/>
      <c r="B4" s="4" t="s">
        <v>31</v>
      </c>
      <c r="C4" s="4" t="s">
        <v>32</v>
      </c>
      <c r="D4" s="4" t="s">
        <v>33</v>
      </c>
    </row>
    <row r="5" customFormat="false" ht="36" hidden="false" customHeight="true" outlineLevel="0" collapsed="false">
      <c r="A5" s="6" t="s">
        <v>34</v>
      </c>
      <c r="B5" s="19" t="s">
        <v>35</v>
      </c>
      <c r="C5" s="19" t="s">
        <v>36</v>
      </c>
    </row>
    <row r="6" customFormat="false" ht="36" hidden="false" customHeight="true" outlineLevel="0" collapsed="false">
      <c r="A6" s="6" t="s">
        <v>37</v>
      </c>
      <c r="B6" s="19" t="s">
        <v>38</v>
      </c>
      <c r="C6" s="19" t="s">
        <v>39</v>
      </c>
    </row>
    <row r="7" customFormat="false" ht="21.75" hidden="false" customHeight="true" outlineLevel="0" collapsed="false"/>
    <row r="8" customFormat="false" ht="21.75" hidden="false" customHeight="true" outlineLevel="0" collapsed="false">
      <c r="A8" s="2" t="s">
        <v>40</v>
      </c>
      <c r="B8" s="2"/>
      <c r="C8" s="2"/>
      <c r="D8" s="2"/>
    </row>
    <row r="9" customFormat="false" ht="21.75" hidden="false" customHeight="true" outlineLevel="0" collapsed="false">
      <c r="A9" s="6" t="s">
        <v>41</v>
      </c>
      <c r="B9" s="6" t="s">
        <v>42</v>
      </c>
      <c r="C9" s="6" t="s">
        <v>43</v>
      </c>
      <c r="D9" s="6" t="s">
        <v>44</v>
      </c>
    </row>
    <row r="10" customFormat="false" ht="21.75" hidden="false" customHeight="true" outlineLevel="0" collapsed="false">
      <c r="A10" s="10" t="s">
        <v>45</v>
      </c>
      <c r="B10" s="12" t="s">
        <v>46</v>
      </c>
      <c r="C10" s="13" t="n">
        <v>5</v>
      </c>
      <c r="D10" s="11" t="s">
        <v>47</v>
      </c>
    </row>
    <row r="11" customFormat="false" ht="21.75" hidden="false" customHeight="true" outlineLevel="0" collapsed="false">
      <c r="A11" s="15" t="s">
        <v>48</v>
      </c>
      <c r="B11" s="17" t="s">
        <v>49</v>
      </c>
      <c r="C11" s="13" t="n">
        <v>6</v>
      </c>
      <c r="D11" s="16" t="s">
        <v>50</v>
      </c>
    </row>
    <row r="12" customFormat="false" ht="21.75" hidden="false" customHeight="true" outlineLevel="0" collapsed="false">
      <c r="A12" s="10" t="s">
        <v>51</v>
      </c>
      <c r="B12" s="12" t="s">
        <v>52</v>
      </c>
      <c r="C12" s="13" t="n">
        <v>7</v>
      </c>
      <c r="D12" s="11" t="s">
        <v>53</v>
      </c>
    </row>
    <row r="13" customFormat="false" ht="21.75" hidden="false" customHeight="true" outlineLevel="0" collapsed="false">
      <c r="A13" s="20" t="s">
        <v>54</v>
      </c>
      <c r="B13" s="20"/>
      <c r="C13" s="20"/>
      <c r="D13" s="20"/>
    </row>
    <row r="14" customFormat="false" ht="25.5" hidden="false" customHeight="true" outlineLevel="0" collapsed="false">
      <c r="A14" s="21" t="s">
        <v>55</v>
      </c>
      <c r="B14" s="21"/>
      <c r="C14" s="21"/>
      <c r="D14" s="21"/>
    </row>
    <row r="15" customFormat="false" ht="21.75" hidden="false" customHeight="true" outlineLevel="0" collapsed="false">
      <c r="A15" s="22" t="s">
        <v>56</v>
      </c>
      <c r="B15" s="22"/>
      <c r="C15" s="22"/>
      <c r="D15" s="22"/>
    </row>
    <row r="16" customFormat="false" ht="21.75" hidden="false" customHeight="true" outlineLevel="0" collapsed="false"/>
    <row r="17" customFormat="false" ht="21.75" hidden="false" customHeight="true" outlineLevel="0" collapsed="false"/>
    <row r="18" customFormat="false" ht="21.75" hidden="false" customHeight="true" outlineLevel="0" collapsed="false"/>
    <row r="19" customFormat="false" ht="21.75" hidden="false" customHeight="true" outlineLevel="0" collapsed="false"/>
    <row r="20" customFormat="false" ht="21.75" hidden="false" customHeight="true" outlineLevel="0" collapsed="false"/>
    <row r="21" customFormat="false" ht="21.75" hidden="false" customHeight="true" outlineLevel="0" collapsed="false"/>
    <row r="22" customFormat="false" ht="21.75" hidden="false" customHeight="true" outlineLevel="0" collapsed="false"/>
    <row r="23" customFormat="false" ht="21.75" hidden="false" customHeight="true" outlineLevel="0" collapsed="false"/>
    <row r="24" customFormat="false" ht="21.75" hidden="false" customHeight="true" outlineLevel="0" collapsed="false"/>
    <row r="25" customFormat="false" ht="21.75" hidden="false" customHeight="true" outlineLevel="0" collapsed="false"/>
    <row r="26" customFormat="false" ht="21.75" hidden="false" customHeight="true" outlineLevel="0" collapsed="false"/>
    <row r="27" customFormat="false" ht="21.75" hidden="false" customHeight="true" outlineLevel="0" collapsed="false"/>
    <row r="28" customFormat="false" ht="21.75" hidden="false" customHeight="true" outlineLevel="0" collapsed="false"/>
    <row r="29" customFormat="false" ht="21.75" hidden="false" customHeight="true" outlineLevel="0" collapsed="false"/>
  </sheetData>
  <mergeCells count="6">
    <mergeCell ref="A1:D1"/>
    <mergeCell ref="A3:D3"/>
    <mergeCell ref="A8:D8"/>
    <mergeCell ref="A13:D13"/>
    <mergeCell ref="A14:D14"/>
    <mergeCell ref="A15:D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" activeCellId="0" sqref="H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1.97"/>
    <col collapsed="false" customWidth="true" hidden="false" outlineLevel="0" max="2" min="2" style="0" width="27.41"/>
    <col collapsed="false" customWidth="true" hidden="false" outlineLevel="0" max="3" min="3" style="0" width="16"/>
    <col collapsed="false" customWidth="true" hidden="false" outlineLevel="0" max="7" min="4" style="0" width="22"/>
    <col collapsed="false" customWidth="true" hidden="false" outlineLevel="0" max="8" min="8" style="0" width="20"/>
  </cols>
  <sheetData>
    <row r="1" customFormat="false" ht="30" hidden="false" customHeight="true" outlineLevel="0" collapsed="false">
      <c r="A1" s="18" t="s">
        <v>57</v>
      </c>
      <c r="B1" s="18"/>
      <c r="C1" s="18"/>
      <c r="D1" s="18"/>
      <c r="E1" s="18"/>
      <c r="F1" s="18"/>
      <c r="G1" s="18"/>
      <c r="H1" s="18"/>
    </row>
    <row r="2" customFormat="false" ht="19.5" hidden="false" customHeight="true" outlineLevel="0" collapsed="false"/>
    <row r="3" customFormat="false" ht="19.5" hidden="false" customHeight="true" outlineLevel="0" collapsed="false">
      <c r="A3" s="2" t="s">
        <v>58</v>
      </c>
      <c r="B3" s="2"/>
      <c r="C3" s="2"/>
      <c r="D3" s="2"/>
      <c r="E3" s="2"/>
      <c r="F3" s="2"/>
      <c r="G3" s="2"/>
      <c r="H3" s="2"/>
    </row>
    <row r="4" customFormat="false" ht="27.75" hidden="false" customHeight="true" outlineLevel="0" collapsed="false">
      <c r="A4" s="6" t="s">
        <v>59</v>
      </c>
      <c r="B4" s="6" t="s">
        <v>60</v>
      </c>
      <c r="C4" s="6" t="s">
        <v>61</v>
      </c>
      <c r="D4" s="6" t="s">
        <v>62</v>
      </c>
      <c r="E4" s="6" t="s">
        <v>63</v>
      </c>
      <c r="F4" s="6" t="s">
        <v>64</v>
      </c>
      <c r="G4" s="6" t="s">
        <v>65</v>
      </c>
      <c r="H4" s="6" t="s">
        <v>66</v>
      </c>
    </row>
    <row r="5" customFormat="false" ht="21.75" hidden="false" customHeight="true" outlineLevel="0" collapsed="false">
      <c r="A5" s="10" t="n">
        <v>1</v>
      </c>
      <c r="B5" s="12" t="s">
        <v>67</v>
      </c>
      <c r="C5" s="12" t="s">
        <v>68</v>
      </c>
      <c r="D5" s="23" t="s">
        <v>69</v>
      </c>
      <c r="E5" s="23" t="s">
        <v>70</v>
      </c>
      <c r="F5" s="12" t="s">
        <v>71</v>
      </c>
      <c r="G5" s="12" t="s">
        <v>72</v>
      </c>
      <c r="H5" s="17" t="s">
        <v>73</v>
      </c>
    </row>
    <row r="6" customFormat="false" ht="21.75" hidden="false" customHeight="true" outlineLevel="0" collapsed="false">
      <c r="A6" s="15" t="n">
        <v>2</v>
      </c>
      <c r="B6" s="17" t="s">
        <v>68</v>
      </c>
      <c r="C6" s="17" t="s">
        <v>74</v>
      </c>
      <c r="D6" s="12" t="s">
        <v>75</v>
      </c>
      <c r="E6" s="12" t="s">
        <v>76</v>
      </c>
      <c r="F6" s="8" t="s">
        <v>77</v>
      </c>
      <c r="G6" s="8" t="s">
        <v>78</v>
      </c>
      <c r="H6" s="14" t="s">
        <v>79</v>
      </c>
    </row>
    <row r="7" customFormat="false" ht="21.75" hidden="false" customHeight="true" outlineLevel="0" collapsed="false">
      <c r="A7" s="10" t="n">
        <v>3</v>
      </c>
      <c r="B7" s="12" t="s">
        <v>80</v>
      </c>
      <c r="C7" s="12" t="s">
        <v>68</v>
      </c>
      <c r="D7" s="23" t="s">
        <v>81</v>
      </c>
      <c r="E7" s="23" t="s">
        <v>82</v>
      </c>
      <c r="F7" s="12" t="s">
        <v>71</v>
      </c>
      <c r="G7" s="12" t="s">
        <v>72</v>
      </c>
      <c r="H7" s="17" t="s">
        <v>73</v>
      </c>
    </row>
    <row r="8" customFormat="false" ht="21.75" hidden="false" customHeight="true" outlineLevel="0" collapsed="false">
      <c r="A8" s="15" t="n">
        <v>4</v>
      </c>
      <c r="B8" s="17" t="s">
        <v>68</v>
      </c>
      <c r="C8" s="17" t="s">
        <v>83</v>
      </c>
      <c r="D8" s="12" t="s">
        <v>84</v>
      </c>
      <c r="E8" s="12" t="s">
        <v>85</v>
      </c>
      <c r="F8" s="8" t="s">
        <v>86</v>
      </c>
      <c r="G8" s="8" t="s">
        <v>87</v>
      </c>
      <c r="H8" s="14" t="s">
        <v>88</v>
      </c>
    </row>
    <row r="9" customFormat="false" ht="19.5" hidden="false" customHeight="true" outlineLevel="0" collapsed="false"/>
    <row r="10" customFormat="false" ht="19.5" hidden="false" customHeight="true" outlineLevel="0" collapsed="false"/>
    <row r="11" customFormat="false" ht="25.5" hidden="false" customHeight="true" outlineLevel="0" collapsed="false">
      <c r="A11" s="24" t="s">
        <v>89</v>
      </c>
      <c r="B11" s="24"/>
      <c r="C11" s="24"/>
      <c r="D11" s="24"/>
      <c r="E11" s="24"/>
      <c r="F11" s="24"/>
      <c r="G11" s="24"/>
      <c r="H11" s="24"/>
    </row>
    <row r="12" customFormat="false" ht="21.75" hidden="false" customHeight="true" outlineLevel="0" collapsed="false">
      <c r="A12" s="6" t="s">
        <v>41</v>
      </c>
      <c r="B12" s="6" t="s">
        <v>90</v>
      </c>
      <c r="C12" s="6" t="s">
        <v>91</v>
      </c>
      <c r="D12" s="6" t="s">
        <v>92</v>
      </c>
      <c r="E12" s="6" t="s">
        <v>93</v>
      </c>
      <c r="F12" s="6" t="s">
        <v>94</v>
      </c>
      <c r="G12" s="25" t="s">
        <v>95</v>
      </c>
      <c r="H12" s="25"/>
    </row>
    <row r="13" customFormat="false" ht="21.75" hidden="false" customHeight="true" outlineLevel="0" collapsed="false">
      <c r="A13" s="13" t="s">
        <v>45</v>
      </c>
      <c r="B13" s="23" t="n">
        <v>0</v>
      </c>
      <c r="C13" s="23" t="n">
        <v>1</v>
      </c>
      <c r="D13" s="23" t="n">
        <v>5</v>
      </c>
      <c r="E13" s="26" t="s">
        <v>96</v>
      </c>
      <c r="F13" s="13" t="n">
        <v>5</v>
      </c>
      <c r="G13" s="27" t="s">
        <v>97</v>
      </c>
      <c r="H13" s="27"/>
    </row>
    <row r="14" customFormat="false" ht="21.75" hidden="false" customHeight="true" outlineLevel="0" collapsed="false">
      <c r="A14" s="13" t="s">
        <v>48</v>
      </c>
      <c r="B14" s="23" t="n">
        <v>0</v>
      </c>
      <c r="C14" s="23" t="n">
        <v>1</v>
      </c>
      <c r="D14" s="23" t="n">
        <v>6</v>
      </c>
      <c r="E14" s="26" t="s">
        <v>98</v>
      </c>
      <c r="F14" s="13" t="n">
        <v>6</v>
      </c>
      <c r="G14" s="27" t="s">
        <v>99</v>
      </c>
      <c r="H14" s="27"/>
    </row>
    <row r="15" customFormat="false" ht="21.75" hidden="false" customHeight="true" outlineLevel="0" collapsed="false">
      <c r="A15" s="10" t="s">
        <v>51</v>
      </c>
      <c r="B15" s="12" t="n">
        <v>0</v>
      </c>
      <c r="C15" s="12" t="n">
        <v>0</v>
      </c>
      <c r="D15" s="12" t="n">
        <v>7</v>
      </c>
      <c r="E15" s="11" t="s">
        <v>100</v>
      </c>
      <c r="F15" s="10" t="n">
        <v>0</v>
      </c>
      <c r="G15" s="28" t="s">
        <v>101</v>
      </c>
      <c r="H15" s="28"/>
    </row>
    <row r="16" customFormat="false" ht="21.75" hidden="false" customHeight="true" outlineLevel="0" collapsed="false">
      <c r="A16" s="10" t="s">
        <v>102</v>
      </c>
      <c r="B16" s="12" t="n">
        <v>0</v>
      </c>
      <c r="C16" s="12" t="n">
        <v>0</v>
      </c>
      <c r="D16" s="12" t="n">
        <v>8</v>
      </c>
      <c r="E16" s="11" t="s">
        <v>103</v>
      </c>
      <c r="F16" s="10" t="n">
        <v>0</v>
      </c>
      <c r="G16" s="28" t="s">
        <v>104</v>
      </c>
      <c r="H16" s="28"/>
    </row>
    <row r="17" customFormat="false" ht="24" hidden="false" customHeight="true" outlineLevel="0" collapsed="false">
      <c r="A17" s="29" t="s">
        <v>105</v>
      </c>
      <c r="B17" s="29"/>
      <c r="C17" s="29"/>
      <c r="D17" s="29"/>
      <c r="E17" s="29"/>
      <c r="F17" s="29"/>
      <c r="G17" s="29"/>
      <c r="H17" s="29"/>
    </row>
    <row r="18" customFormat="false" ht="19.5" hidden="false" customHeight="true" outlineLevel="0" collapsed="false"/>
    <row r="19" customFormat="false" ht="25.5" hidden="false" customHeight="true" outlineLevel="0" collapsed="false">
      <c r="A19" s="30" t="s">
        <v>106</v>
      </c>
      <c r="B19" s="30"/>
      <c r="C19" s="30"/>
      <c r="D19" s="30"/>
      <c r="E19" s="30"/>
      <c r="F19" s="30"/>
      <c r="G19" s="30"/>
      <c r="H19" s="30"/>
    </row>
    <row r="20" customFormat="false" ht="21.75" hidden="false" customHeight="true" outlineLevel="0" collapsed="false">
      <c r="A20" s="6" t="s">
        <v>41</v>
      </c>
      <c r="B20" s="6" t="s">
        <v>90</v>
      </c>
      <c r="C20" s="6" t="s">
        <v>91</v>
      </c>
      <c r="D20" s="6" t="s">
        <v>92</v>
      </c>
      <c r="E20" s="6" t="s">
        <v>93</v>
      </c>
      <c r="F20" s="6" t="s">
        <v>94</v>
      </c>
      <c r="G20" s="25" t="s">
        <v>95</v>
      </c>
      <c r="H20" s="25"/>
    </row>
    <row r="21" customFormat="false" ht="21.75" hidden="false" customHeight="true" outlineLevel="0" collapsed="false">
      <c r="A21" s="10" t="s">
        <v>45</v>
      </c>
      <c r="B21" s="12" t="n">
        <v>5</v>
      </c>
      <c r="C21" s="12" t="s">
        <v>73</v>
      </c>
      <c r="D21" s="12" t="n">
        <v>5</v>
      </c>
      <c r="E21" s="11" t="s">
        <v>75</v>
      </c>
      <c r="F21" s="10" t="n">
        <v>5</v>
      </c>
      <c r="G21" s="28" t="s">
        <v>107</v>
      </c>
      <c r="H21" s="28"/>
    </row>
    <row r="22" customFormat="false" ht="21.75" hidden="false" customHeight="true" outlineLevel="0" collapsed="false">
      <c r="A22" s="10" t="s">
        <v>48</v>
      </c>
      <c r="B22" s="12" t="n">
        <v>6</v>
      </c>
      <c r="C22" s="12" t="s">
        <v>73</v>
      </c>
      <c r="D22" s="12" t="n">
        <v>6</v>
      </c>
      <c r="E22" s="11" t="s">
        <v>76</v>
      </c>
      <c r="F22" s="10" t="n">
        <v>6</v>
      </c>
      <c r="G22" s="28" t="s">
        <v>108</v>
      </c>
      <c r="H22" s="28"/>
    </row>
    <row r="23" customFormat="false" ht="21.75" hidden="false" customHeight="true" outlineLevel="0" collapsed="false">
      <c r="A23" s="8" t="s">
        <v>51</v>
      </c>
      <c r="B23" s="31" t="n">
        <v>5</v>
      </c>
      <c r="C23" s="31" t="n">
        <v>2</v>
      </c>
      <c r="D23" s="31" t="n">
        <v>7</v>
      </c>
      <c r="E23" s="32" t="s">
        <v>109</v>
      </c>
      <c r="F23" s="8" t="n">
        <v>19</v>
      </c>
      <c r="G23" s="33" t="s">
        <v>110</v>
      </c>
      <c r="H23" s="33"/>
    </row>
    <row r="24" customFormat="false" ht="21.75" hidden="false" customHeight="true" outlineLevel="0" collapsed="false">
      <c r="A24" s="8" t="s">
        <v>102</v>
      </c>
      <c r="B24" s="31" t="n">
        <v>6</v>
      </c>
      <c r="C24" s="31" t="n">
        <v>2</v>
      </c>
      <c r="D24" s="31" t="n">
        <v>8</v>
      </c>
      <c r="E24" s="32" t="s">
        <v>111</v>
      </c>
      <c r="F24" s="8" t="n">
        <v>22</v>
      </c>
      <c r="G24" s="33" t="s">
        <v>112</v>
      </c>
      <c r="H24" s="33"/>
    </row>
    <row r="25" customFormat="false" ht="24" hidden="false" customHeight="true" outlineLevel="0" collapsed="false">
      <c r="A25" s="34" t="s">
        <v>113</v>
      </c>
      <c r="B25" s="34"/>
      <c r="C25" s="34"/>
      <c r="D25" s="34"/>
      <c r="E25" s="34"/>
      <c r="F25" s="34"/>
      <c r="G25" s="34"/>
      <c r="H25" s="34"/>
    </row>
    <row r="26" customFormat="false" ht="19.5" hidden="false" customHeight="true" outlineLevel="0" collapsed="false"/>
    <row r="27" customFormat="false" ht="25.5" hidden="false" customHeight="true" outlineLevel="0" collapsed="false">
      <c r="A27" s="24" t="s">
        <v>114</v>
      </c>
      <c r="B27" s="24"/>
      <c r="C27" s="24"/>
      <c r="D27" s="24"/>
      <c r="E27" s="24"/>
      <c r="F27" s="24"/>
      <c r="G27" s="24"/>
      <c r="H27" s="24"/>
    </row>
    <row r="28" customFormat="false" ht="21.75" hidden="false" customHeight="true" outlineLevel="0" collapsed="false">
      <c r="A28" s="6" t="s">
        <v>41</v>
      </c>
      <c r="B28" s="6" t="s">
        <v>90</v>
      </c>
      <c r="C28" s="6" t="s">
        <v>91</v>
      </c>
      <c r="D28" s="6" t="s">
        <v>92</v>
      </c>
      <c r="E28" s="6" t="s">
        <v>93</v>
      </c>
      <c r="F28" s="6" t="s">
        <v>94</v>
      </c>
      <c r="G28" s="25" t="s">
        <v>95</v>
      </c>
      <c r="H28" s="25"/>
    </row>
    <row r="29" customFormat="false" ht="21.75" hidden="false" customHeight="true" outlineLevel="0" collapsed="false">
      <c r="A29" s="13" t="s">
        <v>45</v>
      </c>
      <c r="B29" s="23" t="n">
        <v>0</v>
      </c>
      <c r="C29" s="23" t="n">
        <v>3</v>
      </c>
      <c r="D29" s="23" t="n">
        <v>5</v>
      </c>
      <c r="E29" s="26" t="s">
        <v>115</v>
      </c>
      <c r="F29" s="13" t="n">
        <v>15</v>
      </c>
      <c r="G29" s="27" t="s">
        <v>116</v>
      </c>
      <c r="H29" s="27"/>
    </row>
    <row r="30" customFormat="false" ht="21.75" hidden="false" customHeight="true" outlineLevel="0" collapsed="false">
      <c r="A30" s="13" t="s">
        <v>48</v>
      </c>
      <c r="B30" s="23" t="n">
        <v>0</v>
      </c>
      <c r="C30" s="23" t="n">
        <v>3</v>
      </c>
      <c r="D30" s="23" t="n">
        <v>6</v>
      </c>
      <c r="E30" s="26" t="s">
        <v>117</v>
      </c>
      <c r="F30" s="13" t="n">
        <v>18</v>
      </c>
      <c r="G30" s="27" t="s">
        <v>118</v>
      </c>
      <c r="H30" s="27"/>
    </row>
    <row r="31" customFormat="false" ht="21.75" hidden="false" customHeight="true" outlineLevel="0" collapsed="false">
      <c r="A31" s="10" t="s">
        <v>51</v>
      </c>
      <c r="B31" s="12" t="n">
        <v>0</v>
      </c>
      <c r="C31" s="12" t="n">
        <v>0</v>
      </c>
      <c r="D31" s="12" t="n">
        <v>7</v>
      </c>
      <c r="E31" s="11" t="s">
        <v>100</v>
      </c>
      <c r="F31" s="10" t="n">
        <v>0</v>
      </c>
      <c r="G31" s="28" t="s">
        <v>119</v>
      </c>
      <c r="H31" s="28"/>
    </row>
    <row r="32" customFormat="false" ht="21.75" hidden="false" customHeight="true" outlineLevel="0" collapsed="false">
      <c r="A32" s="10" t="s">
        <v>102</v>
      </c>
      <c r="B32" s="12" t="n">
        <v>0</v>
      </c>
      <c r="C32" s="12" t="n">
        <v>0</v>
      </c>
      <c r="D32" s="12" t="n">
        <v>8</v>
      </c>
      <c r="E32" s="11" t="s">
        <v>103</v>
      </c>
      <c r="F32" s="10" t="n">
        <v>0</v>
      </c>
      <c r="G32" s="28" t="s">
        <v>120</v>
      </c>
      <c r="H32" s="28"/>
    </row>
    <row r="33" customFormat="false" ht="24" hidden="false" customHeight="true" outlineLevel="0" collapsed="false">
      <c r="A33" s="29" t="s">
        <v>105</v>
      </c>
      <c r="B33" s="29"/>
      <c r="C33" s="29"/>
      <c r="D33" s="29"/>
      <c r="E33" s="29"/>
      <c r="F33" s="29"/>
      <c r="G33" s="29"/>
      <c r="H33" s="29"/>
    </row>
    <row r="34" customFormat="false" ht="19.5" hidden="false" customHeight="true" outlineLevel="0" collapsed="false"/>
    <row r="35" customFormat="false" ht="25.5" hidden="false" customHeight="true" outlineLevel="0" collapsed="false">
      <c r="A35" s="30" t="s">
        <v>121</v>
      </c>
      <c r="B35" s="30"/>
      <c r="C35" s="30"/>
      <c r="D35" s="30"/>
      <c r="E35" s="30"/>
      <c r="F35" s="30"/>
      <c r="G35" s="30"/>
      <c r="H35" s="30"/>
    </row>
    <row r="36" customFormat="false" ht="21.75" hidden="false" customHeight="true" outlineLevel="0" collapsed="false">
      <c r="A36" s="6" t="s">
        <v>41</v>
      </c>
      <c r="B36" s="6" t="s">
        <v>90</v>
      </c>
      <c r="C36" s="6" t="s">
        <v>91</v>
      </c>
      <c r="D36" s="6" t="s">
        <v>92</v>
      </c>
      <c r="E36" s="6" t="s">
        <v>93</v>
      </c>
      <c r="F36" s="6" t="s">
        <v>94</v>
      </c>
      <c r="G36" s="25" t="s">
        <v>95</v>
      </c>
      <c r="H36" s="25"/>
    </row>
    <row r="37" customFormat="false" ht="21.75" hidden="false" customHeight="true" outlineLevel="0" collapsed="false">
      <c r="A37" s="10" t="s">
        <v>45</v>
      </c>
      <c r="B37" s="12" t="n">
        <v>15</v>
      </c>
      <c r="C37" s="12" t="s">
        <v>73</v>
      </c>
      <c r="D37" s="12" t="n">
        <v>5</v>
      </c>
      <c r="E37" s="11" t="s">
        <v>84</v>
      </c>
      <c r="F37" s="10" t="n">
        <v>15</v>
      </c>
      <c r="G37" s="28" t="s">
        <v>122</v>
      </c>
      <c r="H37" s="28"/>
    </row>
    <row r="38" customFormat="false" ht="21.75" hidden="false" customHeight="true" outlineLevel="0" collapsed="false">
      <c r="A38" s="10" t="s">
        <v>48</v>
      </c>
      <c r="B38" s="12" t="n">
        <v>18</v>
      </c>
      <c r="C38" s="12" t="s">
        <v>73</v>
      </c>
      <c r="D38" s="12" t="n">
        <v>6</v>
      </c>
      <c r="E38" s="11" t="s">
        <v>85</v>
      </c>
      <c r="F38" s="10" t="n">
        <v>18</v>
      </c>
      <c r="G38" s="28" t="s">
        <v>123</v>
      </c>
      <c r="H38" s="28"/>
    </row>
    <row r="39" customFormat="false" ht="21.75" hidden="false" customHeight="true" outlineLevel="0" collapsed="false">
      <c r="A39" s="8" t="s">
        <v>51</v>
      </c>
      <c r="B39" s="31" t="n">
        <v>15</v>
      </c>
      <c r="C39" s="31" t="n">
        <v>4</v>
      </c>
      <c r="D39" s="31" t="n">
        <v>7</v>
      </c>
      <c r="E39" s="32" t="s">
        <v>124</v>
      </c>
      <c r="F39" s="8" t="n">
        <v>43</v>
      </c>
      <c r="G39" s="33" t="s">
        <v>125</v>
      </c>
      <c r="H39" s="33"/>
    </row>
    <row r="40" customFormat="false" ht="21.75" hidden="false" customHeight="true" outlineLevel="0" collapsed="false">
      <c r="A40" s="8" t="s">
        <v>102</v>
      </c>
      <c r="B40" s="31" t="n">
        <v>18</v>
      </c>
      <c r="C40" s="31" t="n">
        <v>4</v>
      </c>
      <c r="D40" s="31" t="n">
        <v>8</v>
      </c>
      <c r="E40" s="32" t="s">
        <v>126</v>
      </c>
      <c r="F40" s="8" t="n">
        <v>50</v>
      </c>
      <c r="G40" s="33" t="s">
        <v>127</v>
      </c>
      <c r="H40" s="33"/>
    </row>
    <row r="41" customFormat="false" ht="24" hidden="false" customHeight="true" outlineLevel="0" collapsed="false">
      <c r="A41" s="34" t="s">
        <v>128</v>
      </c>
      <c r="B41" s="34"/>
      <c r="C41" s="34"/>
      <c r="D41" s="34"/>
      <c r="E41" s="34"/>
      <c r="F41" s="34"/>
      <c r="G41" s="34"/>
      <c r="H41" s="34"/>
    </row>
    <row r="42" customFormat="false" ht="19.5" hidden="false" customHeight="true" outlineLevel="0" collapsed="false"/>
    <row r="43" customFormat="false" ht="19.5" hidden="false" customHeight="true" outlineLevel="0" collapsed="false"/>
    <row r="44" customFormat="false" ht="19.5" hidden="false" customHeight="true" outlineLevel="0" collapsed="false"/>
    <row r="45" customFormat="false" ht="19.5" hidden="false" customHeight="true" outlineLevel="0" collapsed="false"/>
    <row r="46" customFormat="false" ht="19.5" hidden="false" customHeight="true" outlineLevel="0" collapsed="false"/>
    <row r="47" customFormat="false" ht="19.5" hidden="false" customHeight="true" outlineLevel="0" collapsed="false"/>
    <row r="48" customFormat="false" ht="19.5" hidden="false" customHeight="true" outlineLevel="0" collapsed="false"/>
    <row r="49" customFormat="false" ht="19.5" hidden="false" customHeight="true" outlineLevel="0" collapsed="false"/>
    <row r="50" customFormat="false" ht="19.5" hidden="false" customHeight="true" outlineLevel="0" collapsed="false"/>
    <row r="51" customFormat="false" ht="19.5" hidden="false" customHeight="true" outlineLevel="0" collapsed="false"/>
    <row r="52" customFormat="false" ht="19.5" hidden="false" customHeight="true" outlineLevel="0" collapsed="false"/>
    <row r="53" customFormat="false" ht="19.5" hidden="false" customHeight="true" outlineLevel="0" collapsed="false"/>
    <row r="54" customFormat="false" ht="19.5" hidden="false" customHeight="true" outlineLevel="0" collapsed="false"/>
    <row r="55" customFormat="false" ht="19.5" hidden="false" customHeight="true" outlineLevel="0" collapsed="false"/>
    <row r="56" customFormat="false" ht="19.5" hidden="false" customHeight="true" outlineLevel="0" collapsed="false"/>
    <row r="57" customFormat="false" ht="19.5" hidden="false" customHeight="true" outlineLevel="0" collapsed="false"/>
    <row r="58" customFormat="false" ht="19.5" hidden="false" customHeight="true" outlineLevel="0" collapsed="false"/>
    <row r="59" customFormat="false" ht="19.5" hidden="false" customHeight="true" outlineLevel="0" collapsed="false"/>
    <row r="60" customFormat="false" ht="19.5" hidden="false" customHeight="true" outlineLevel="0" collapsed="false"/>
    <row r="61" customFormat="false" ht="19.5" hidden="false" customHeight="true" outlineLevel="0" collapsed="false"/>
    <row r="62" customFormat="false" ht="19.5" hidden="false" customHeight="true" outlineLevel="0" collapsed="false"/>
    <row r="63" customFormat="false" ht="19.5" hidden="false" customHeight="true" outlineLevel="0" collapsed="false"/>
    <row r="64" customFormat="false" ht="19.5" hidden="false" customHeight="true" outlineLevel="0" collapsed="false"/>
    <row r="65" customFormat="false" ht="19.5" hidden="false" customHeight="true" outlineLevel="0" collapsed="false"/>
    <row r="66" customFormat="false" ht="19.5" hidden="false" customHeight="true" outlineLevel="0" collapsed="false"/>
    <row r="67" customFormat="false" ht="19.5" hidden="false" customHeight="true" outlineLevel="0" collapsed="false"/>
    <row r="68" customFormat="false" ht="19.5" hidden="false" customHeight="true" outlineLevel="0" collapsed="false"/>
    <row r="69" customFormat="false" ht="19.5" hidden="false" customHeight="true" outlineLevel="0" collapsed="false"/>
    <row r="70" customFormat="false" ht="19.5" hidden="false" customHeight="true" outlineLevel="0" collapsed="false"/>
    <row r="71" customFormat="false" ht="19.5" hidden="false" customHeight="true" outlineLevel="0" collapsed="false"/>
    <row r="72" customFormat="false" ht="19.5" hidden="false" customHeight="true" outlineLevel="0" collapsed="false"/>
    <row r="73" customFormat="false" ht="19.5" hidden="false" customHeight="true" outlineLevel="0" collapsed="false"/>
    <row r="74" customFormat="false" ht="19.5" hidden="false" customHeight="true" outlineLevel="0" collapsed="false"/>
    <row r="75" customFormat="false" ht="19.5" hidden="false" customHeight="true" outlineLevel="0" collapsed="false"/>
    <row r="76" customFormat="false" ht="19.5" hidden="false" customHeight="true" outlineLevel="0" collapsed="false"/>
    <row r="77" customFormat="false" ht="19.5" hidden="false" customHeight="true" outlineLevel="0" collapsed="false"/>
    <row r="78" customFormat="false" ht="19.5" hidden="false" customHeight="true" outlineLevel="0" collapsed="false"/>
    <row r="79" customFormat="false" ht="19.5" hidden="false" customHeight="true" outlineLevel="0" collapsed="false"/>
    <row r="80" customFormat="false" ht="19.5" hidden="false" customHeight="true" outlineLevel="0" collapsed="false"/>
    <row r="81" customFormat="false" ht="19.5" hidden="false" customHeight="true" outlineLevel="0" collapsed="false"/>
    <row r="82" customFormat="false" ht="19.5" hidden="false" customHeight="true" outlineLevel="0" collapsed="false"/>
    <row r="83" customFormat="false" ht="19.5" hidden="false" customHeight="true" outlineLevel="0" collapsed="false"/>
    <row r="84" customFormat="false" ht="19.5" hidden="false" customHeight="true" outlineLevel="0" collapsed="false"/>
    <row r="85" customFormat="false" ht="19.5" hidden="false" customHeight="true" outlineLevel="0" collapsed="false"/>
    <row r="86" customFormat="false" ht="19.5" hidden="false" customHeight="true" outlineLevel="0" collapsed="false"/>
    <row r="87" customFormat="false" ht="19.5" hidden="false" customHeight="true" outlineLevel="0" collapsed="false"/>
    <row r="88" customFormat="false" ht="19.5" hidden="false" customHeight="true" outlineLevel="0" collapsed="false"/>
    <row r="89" customFormat="false" ht="19.5" hidden="false" customHeight="true" outlineLevel="0" collapsed="false"/>
    <row r="90" customFormat="false" ht="19.5" hidden="false" customHeight="true" outlineLevel="0" collapsed="false"/>
    <row r="91" customFormat="false" ht="19.5" hidden="false" customHeight="true" outlineLevel="0" collapsed="false"/>
    <row r="92" customFormat="false" ht="19.5" hidden="false" customHeight="true" outlineLevel="0" collapsed="false"/>
    <row r="93" customFormat="false" ht="19.5" hidden="false" customHeight="true" outlineLevel="0" collapsed="false"/>
    <row r="94" customFormat="false" ht="19.5" hidden="false" customHeight="true" outlineLevel="0" collapsed="false"/>
    <row r="95" customFormat="false" ht="19.5" hidden="false" customHeight="true" outlineLevel="0" collapsed="false"/>
    <row r="96" customFormat="false" ht="19.5" hidden="false" customHeight="true" outlineLevel="0" collapsed="false"/>
    <row r="97" customFormat="false" ht="19.5" hidden="false" customHeight="true" outlineLevel="0" collapsed="false"/>
    <row r="98" customFormat="false" ht="19.5" hidden="false" customHeight="true" outlineLevel="0" collapsed="false"/>
    <row r="99" customFormat="false" ht="19.5" hidden="false" customHeight="true" outlineLevel="0" collapsed="false"/>
    <row r="100" customFormat="false" ht="19.5" hidden="false" customHeight="true" outlineLevel="0" collapsed="false"/>
    <row r="101" customFormat="false" ht="19.5" hidden="false" customHeight="true" outlineLevel="0" collapsed="false"/>
    <row r="102" customFormat="false" ht="19.5" hidden="false" customHeight="true" outlineLevel="0" collapsed="false"/>
    <row r="103" customFormat="false" ht="19.5" hidden="false" customHeight="true" outlineLevel="0" collapsed="false"/>
    <row r="104" customFormat="false" ht="19.5" hidden="false" customHeight="true" outlineLevel="0" collapsed="false"/>
    <row r="105" customFormat="false" ht="19.5" hidden="false" customHeight="true" outlineLevel="0" collapsed="false"/>
    <row r="106" customFormat="false" ht="19.5" hidden="false" customHeight="true" outlineLevel="0" collapsed="false"/>
    <row r="107" customFormat="false" ht="19.5" hidden="false" customHeight="true" outlineLevel="0" collapsed="false"/>
    <row r="108" customFormat="false" ht="19.5" hidden="false" customHeight="true" outlineLevel="0" collapsed="false"/>
    <row r="109" customFormat="false" ht="19.5" hidden="false" customHeight="true" outlineLevel="0" collapsed="false"/>
    <row r="110" customFormat="false" ht="19.5" hidden="false" customHeight="true" outlineLevel="0" collapsed="false"/>
    <row r="111" customFormat="false" ht="19.5" hidden="false" customHeight="true" outlineLevel="0" collapsed="false"/>
    <row r="112" customFormat="false" ht="19.5" hidden="false" customHeight="true" outlineLevel="0" collapsed="false"/>
    <row r="113" customFormat="false" ht="19.5" hidden="false" customHeight="true" outlineLevel="0" collapsed="false"/>
    <row r="114" customFormat="false" ht="19.5" hidden="false" customHeight="true" outlineLevel="0" collapsed="false"/>
    <row r="115" customFormat="false" ht="19.5" hidden="false" customHeight="true" outlineLevel="0" collapsed="false"/>
    <row r="116" customFormat="false" ht="19.5" hidden="false" customHeight="true" outlineLevel="0" collapsed="false"/>
    <row r="117" customFormat="false" ht="19.5" hidden="false" customHeight="true" outlineLevel="0" collapsed="false"/>
    <row r="118" customFormat="false" ht="19.5" hidden="false" customHeight="true" outlineLevel="0" collapsed="false"/>
    <row r="119" customFormat="false" ht="19.5" hidden="false" customHeight="true" outlineLevel="0" collapsed="false"/>
  </sheetData>
  <mergeCells count="30">
    <mergeCell ref="A1:H1"/>
    <mergeCell ref="A3:H3"/>
    <mergeCell ref="A11:H11"/>
    <mergeCell ref="G12:H12"/>
    <mergeCell ref="G13:H13"/>
    <mergeCell ref="G14:H14"/>
    <mergeCell ref="G15:H15"/>
    <mergeCell ref="G16:H16"/>
    <mergeCell ref="A17:H17"/>
    <mergeCell ref="A19:H19"/>
    <mergeCell ref="G20:H20"/>
    <mergeCell ref="G21:H21"/>
    <mergeCell ref="G22:H22"/>
    <mergeCell ref="G23:H23"/>
    <mergeCell ref="G24:H24"/>
    <mergeCell ref="A25:H25"/>
    <mergeCell ref="A27:H27"/>
    <mergeCell ref="G28:H28"/>
    <mergeCell ref="G29:H29"/>
    <mergeCell ref="G30:H30"/>
    <mergeCell ref="G31:H31"/>
    <mergeCell ref="G32:H32"/>
    <mergeCell ref="A33:H33"/>
    <mergeCell ref="A35:H35"/>
    <mergeCell ref="G36:H36"/>
    <mergeCell ref="G37:H37"/>
    <mergeCell ref="G38:H38"/>
    <mergeCell ref="G39:H39"/>
    <mergeCell ref="G40:H40"/>
    <mergeCell ref="A41:H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9.06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22.68"/>
    <col collapsed="false" customWidth="true" hidden="false" outlineLevel="0" max="5" min="5" style="0" width="22"/>
    <col collapsed="false" customWidth="true" hidden="false" outlineLevel="0" max="6" min="6" style="0" width="14"/>
    <col collapsed="false" customWidth="true" hidden="false" outlineLevel="0" max="7" min="7" style="0" width="22.53"/>
  </cols>
  <sheetData>
    <row r="1" customFormat="false" ht="30" hidden="false" customHeight="true" outlineLevel="0" collapsed="false">
      <c r="A1" s="18" t="s">
        <v>129</v>
      </c>
      <c r="B1" s="18"/>
      <c r="C1" s="18"/>
      <c r="D1" s="18"/>
      <c r="E1" s="18"/>
      <c r="F1" s="18"/>
      <c r="G1" s="18"/>
    </row>
    <row r="2" customFormat="false" ht="19.5" hidden="false" customHeight="true" outlineLevel="0" collapsed="false"/>
    <row r="3" customFormat="false" ht="19.5" hidden="false" customHeight="true" outlineLevel="0" collapsed="false">
      <c r="A3" s="2" t="s">
        <v>130</v>
      </c>
      <c r="B3" s="2"/>
      <c r="C3" s="2"/>
      <c r="D3" s="2"/>
      <c r="E3" s="2"/>
      <c r="F3" s="2"/>
      <c r="G3" s="2"/>
    </row>
    <row r="4" customFormat="false" ht="21.75" hidden="false" customHeight="true" outlineLevel="0" collapsed="false">
      <c r="A4" s="6" t="s">
        <v>131</v>
      </c>
      <c r="B4" s="6" t="s">
        <v>41</v>
      </c>
      <c r="C4" s="6" t="s">
        <v>59</v>
      </c>
      <c r="D4" s="6" t="s">
        <v>132</v>
      </c>
      <c r="E4" s="6" t="s">
        <v>133</v>
      </c>
      <c r="F4" s="6" t="s">
        <v>134</v>
      </c>
      <c r="G4" s="6" t="s">
        <v>135</v>
      </c>
    </row>
    <row r="5" customFormat="false" ht="19.5" hidden="false" customHeight="true" outlineLevel="0" collapsed="false">
      <c r="A5" s="10" t="s">
        <v>136</v>
      </c>
      <c r="B5" s="12" t="s">
        <v>45</v>
      </c>
      <c r="C5" s="12" t="n">
        <v>1</v>
      </c>
      <c r="D5" s="12" t="n">
        <v>0</v>
      </c>
      <c r="E5" s="23" t="s">
        <v>137</v>
      </c>
      <c r="F5" s="23" t="n">
        <v>5</v>
      </c>
      <c r="G5" s="23" t="n">
        <v>5</v>
      </c>
    </row>
    <row r="6" customFormat="false" ht="19.5" hidden="false" customHeight="true" outlineLevel="0" collapsed="false">
      <c r="A6" s="15" t="s">
        <v>138</v>
      </c>
      <c r="B6" s="17" t="s">
        <v>48</v>
      </c>
      <c r="C6" s="17" t="n">
        <v>1</v>
      </c>
      <c r="D6" s="17" t="n">
        <v>0</v>
      </c>
      <c r="E6" s="23" t="s">
        <v>139</v>
      </c>
      <c r="F6" s="23" t="n">
        <v>6</v>
      </c>
      <c r="G6" s="23" t="n">
        <v>6</v>
      </c>
    </row>
    <row r="7" customFormat="false" ht="19.5" hidden="false" customHeight="true" outlineLevel="0" collapsed="false">
      <c r="A7" s="10" t="s">
        <v>140</v>
      </c>
      <c r="B7" s="12" t="s">
        <v>51</v>
      </c>
      <c r="C7" s="12" t="n">
        <v>2</v>
      </c>
      <c r="D7" s="12" t="n">
        <v>5</v>
      </c>
      <c r="E7" s="23" t="s">
        <v>141</v>
      </c>
      <c r="F7" s="23" t="n">
        <v>14</v>
      </c>
      <c r="G7" s="14" t="n">
        <v>19</v>
      </c>
    </row>
    <row r="8" customFormat="false" ht="19.5" hidden="false" customHeight="true" outlineLevel="0" collapsed="false">
      <c r="A8" s="15" t="s">
        <v>142</v>
      </c>
      <c r="B8" s="17" t="s">
        <v>102</v>
      </c>
      <c r="C8" s="17" t="n">
        <v>2</v>
      </c>
      <c r="D8" s="17" t="n">
        <v>6</v>
      </c>
      <c r="E8" s="23" t="s">
        <v>143</v>
      </c>
      <c r="F8" s="23" t="n">
        <v>16</v>
      </c>
      <c r="G8" s="14" t="n">
        <v>22</v>
      </c>
    </row>
    <row r="9" customFormat="false" ht="19.5" hidden="false" customHeight="true" outlineLevel="0" collapsed="false">
      <c r="A9" s="10" t="s">
        <v>144</v>
      </c>
      <c r="B9" s="12" t="s">
        <v>45</v>
      </c>
      <c r="C9" s="12" t="n">
        <v>3</v>
      </c>
      <c r="D9" s="12" t="n">
        <v>0</v>
      </c>
      <c r="E9" s="23" t="s">
        <v>145</v>
      </c>
      <c r="F9" s="23" t="n">
        <v>15</v>
      </c>
      <c r="G9" s="23" t="n">
        <v>15</v>
      </c>
    </row>
    <row r="10" customFormat="false" ht="19.5" hidden="false" customHeight="true" outlineLevel="0" collapsed="false">
      <c r="A10" s="15" t="s">
        <v>146</v>
      </c>
      <c r="B10" s="17" t="s">
        <v>48</v>
      </c>
      <c r="C10" s="17" t="n">
        <v>3</v>
      </c>
      <c r="D10" s="17" t="n">
        <v>0</v>
      </c>
      <c r="E10" s="23" t="s">
        <v>147</v>
      </c>
      <c r="F10" s="23" t="n">
        <v>18</v>
      </c>
      <c r="G10" s="23" t="n">
        <v>18</v>
      </c>
    </row>
    <row r="11" customFormat="false" ht="19.5" hidden="false" customHeight="true" outlineLevel="0" collapsed="false">
      <c r="A11" s="10" t="s">
        <v>148</v>
      </c>
      <c r="B11" s="12" t="s">
        <v>51</v>
      </c>
      <c r="C11" s="12" t="n">
        <v>4</v>
      </c>
      <c r="D11" s="12" t="n">
        <v>15</v>
      </c>
      <c r="E11" s="23" t="s">
        <v>149</v>
      </c>
      <c r="F11" s="23" t="n">
        <v>28</v>
      </c>
      <c r="G11" s="14" t="n">
        <v>43</v>
      </c>
    </row>
    <row r="12" customFormat="false" ht="19.5" hidden="false" customHeight="true" outlineLevel="0" collapsed="false">
      <c r="A12" s="15" t="s">
        <v>150</v>
      </c>
      <c r="B12" s="17" t="s">
        <v>102</v>
      </c>
      <c r="C12" s="17" t="n">
        <v>4</v>
      </c>
      <c r="D12" s="17" t="n">
        <v>18</v>
      </c>
      <c r="E12" s="23" t="s">
        <v>151</v>
      </c>
      <c r="F12" s="23" t="n">
        <v>32</v>
      </c>
      <c r="G12" s="14" t="n">
        <v>50</v>
      </c>
    </row>
    <row r="13" customFormat="false" ht="19.5" hidden="false" customHeight="true" outlineLevel="0" collapsed="false">
      <c r="A13" s="35" t="s">
        <v>152</v>
      </c>
      <c r="B13" s="35"/>
      <c r="C13" s="35"/>
      <c r="D13" s="35"/>
      <c r="E13" s="35"/>
      <c r="F13" s="35"/>
      <c r="G13" s="19" t="n">
        <f aca="false">COUNTA(A5:A12)</f>
        <v>8</v>
      </c>
    </row>
    <row r="14" customFormat="false" ht="21.75" hidden="false" customHeight="true" outlineLevel="0" collapsed="false">
      <c r="A14" s="33" t="s">
        <v>153</v>
      </c>
      <c r="B14" s="33"/>
      <c r="C14" s="33"/>
      <c r="D14" s="33"/>
      <c r="E14" s="33"/>
      <c r="F14" s="33"/>
      <c r="G14" s="33"/>
    </row>
    <row r="15" customFormat="false" ht="19.5" hidden="false" customHeight="true" outlineLevel="0" collapsed="false"/>
    <row r="16" customFormat="false" ht="19.5" hidden="false" customHeight="true" outlineLevel="0" collapsed="false"/>
    <row r="17" customFormat="false" ht="19.5" hidden="false" customHeight="true" outlineLevel="0" collapsed="false">
      <c r="A17" s="2" t="s">
        <v>154</v>
      </c>
      <c r="B17" s="2"/>
      <c r="C17" s="2"/>
      <c r="D17" s="2"/>
      <c r="E17" s="2"/>
      <c r="F17" s="2"/>
      <c r="G17" s="2"/>
    </row>
    <row r="18" customFormat="false" ht="21.75" hidden="false" customHeight="true" outlineLevel="0" collapsed="false">
      <c r="A18" s="6" t="s">
        <v>155</v>
      </c>
      <c r="B18" s="6" t="s">
        <v>156</v>
      </c>
      <c r="C18" s="6" t="s">
        <v>157</v>
      </c>
      <c r="D18" s="6" t="s">
        <v>158</v>
      </c>
      <c r="E18" s="6" t="s">
        <v>159</v>
      </c>
      <c r="F18" s="6" t="s">
        <v>160</v>
      </c>
      <c r="G18" s="6" t="s">
        <v>161</v>
      </c>
    </row>
    <row r="19" customFormat="false" ht="19.5" hidden="false" customHeight="true" outlineLevel="0" collapsed="false">
      <c r="A19" s="10" t="s">
        <v>162</v>
      </c>
      <c r="B19" s="12" t="n">
        <v>1</v>
      </c>
      <c r="C19" s="12" t="n">
        <v>1</v>
      </c>
      <c r="D19" s="23" t="s">
        <v>45</v>
      </c>
      <c r="E19" s="23" t="s">
        <v>163</v>
      </c>
      <c r="F19" s="36" t="s">
        <v>48</v>
      </c>
      <c r="G19" s="36" t="s">
        <v>164</v>
      </c>
    </row>
    <row r="20" customFormat="false" ht="19.5" hidden="false" customHeight="true" outlineLevel="0" collapsed="false">
      <c r="A20" s="15" t="s">
        <v>165</v>
      </c>
      <c r="B20" s="17" t="n">
        <v>2</v>
      </c>
      <c r="C20" s="17" t="n">
        <v>2</v>
      </c>
      <c r="D20" s="23" t="s">
        <v>51</v>
      </c>
      <c r="E20" s="23" t="s">
        <v>166</v>
      </c>
      <c r="F20" s="36" t="s">
        <v>102</v>
      </c>
      <c r="G20" s="36" t="s">
        <v>167</v>
      </c>
    </row>
    <row r="21" customFormat="false" ht="19.5" hidden="false" customHeight="true" outlineLevel="0" collapsed="false">
      <c r="A21" s="10" t="s">
        <v>168</v>
      </c>
      <c r="B21" s="12" t="n">
        <v>3</v>
      </c>
      <c r="C21" s="12" t="n">
        <v>3</v>
      </c>
      <c r="D21" s="23" t="s">
        <v>45</v>
      </c>
      <c r="E21" s="23" t="s">
        <v>169</v>
      </c>
      <c r="F21" s="36" t="s">
        <v>48</v>
      </c>
      <c r="G21" s="36" t="s">
        <v>170</v>
      </c>
    </row>
    <row r="22" customFormat="false" ht="19.5" hidden="false" customHeight="true" outlineLevel="0" collapsed="false">
      <c r="A22" s="15" t="s">
        <v>171</v>
      </c>
      <c r="B22" s="17" t="n">
        <v>4</v>
      </c>
      <c r="C22" s="17" t="n">
        <v>4</v>
      </c>
      <c r="D22" s="23" t="s">
        <v>51</v>
      </c>
      <c r="E22" s="23" t="s">
        <v>172</v>
      </c>
      <c r="F22" s="36" t="s">
        <v>102</v>
      </c>
      <c r="G22" s="36" t="s">
        <v>173</v>
      </c>
    </row>
    <row r="23" customFormat="false" ht="24" hidden="false" customHeight="true" outlineLevel="0" collapsed="false">
      <c r="A23" s="35" t="s">
        <v>174</v>
      </c>
      <c r="B23" s="35"/>
      <c r="C23" s="35"/>
      <c r="D23" s="35"/>
      <c r="E23" s="35"/>
      <c r="F23" s="35"/>
      <c r="G23" s="35"/>
    </row>
    <row r="24" customFormat="false" ht="19.5" hidden="false" customHeight="true" outlineLevel="0" collapsed="false"/>
    <row r="25" customFormat="false" ht="19.5" hidden="false" customHeight="true" outlineLevel="0" collapsed="false"/>
    <row r="26" customFormat="false" ht="19.5" hidden="false" customHeight="true" outlineLevel="0" collapsed="false">
      <c r="A26" s="2" t="s">
        <v>175</v>
      </c>
      <c r="B26" s="2"/>
      <c r="C26" s="2"/>
      <c r="D26" s="2"/>
      <c r="E26" s="2"/>
      <c r="F26" s="2"/>
      <c r="G26" s="2"/>
    </row>
    <row r="27" customFormat="false" ht="19.5" hidden="false" customHeight="true" outlineLevel="0" collapsed="false">
      <c r="A27" s="37" t="s">
        <v>176</v>
      </c>
      <c r="B27" s="37"/>
      <c r="C27" s="37"/>
      <c r="D27" s="37"/>
      <c r="E27" s="37"/>
      <c r="F27" s="37"/>
      <c r="G27" s="37"/>
    </row>
    <row r="28" customFormat="false" ht="19.5" hidden="false" customHeight="true" outlineLevel="0" collapsed="false">
      <c r="A28" s="10" t="s">
        <v>9</v>
      </c>
      <c r="B28" s="10" t="s">
        <v>156</v>
      </c>
      <c r="C28" s="10" t="s">
        <v>177</v>
      </c>
      <c r="D28" s="10" t="s">
        <v>178</v>
      </c>
      <c r="E28" s="10" t="s">
        <v>179</v>
      </c>
      <c r="F28" s="10" t="s">
        <v>180</v>
      </c>
      <c r="G28" s="10"/>
    </row>
    <row r="29" customFormat="false" ht="19.5" hidden="false" customHeight="true" outlineLevel="0" collapsed="false">
      <c r="A29" s="10" t="s">
        <v>162</v>
      </c>
      <c r="B29" s="12" t="n">
        <v>1</v>
      </c>
      <c r="C29" s="12" t="n">
        <v>1</v>
      </c>
      <c r="D29" s="12" t="s">
        <v>181</v>
      </c>
      <c r="E29" s="38" t="s">
        <v>182</v>
      </c>
      <c r="F29" s="6" t="n">
        <v>1</v>
      </c>
      <c r="G29" s="12"/>
    </row>
    <row r="30" customFormat="false" ht="19.5" hidden="false" customHeight="true" outlineLevel="0" collapsed="false">
      <c r="A30" s="15" t="s">
        <v>165</v>
      </c>
      <c r="B30" s="17" t="n">
        <v>2</v>
      </c>
      <c r="C30" s="17" t="n">
        <v>2</v>
      </c>
      <c r="D30" s="17" t="s">
        <v>183</v>
      </c>
      <c r="E30" s="38" t="s">
        <v>182</v>
      </c>
      <c r="F30" s="6" t="n">
        <v>1</v>
      </c>
      <c r="G30" s="17"/>
    </row>
    <row r="31" customFormat="false" ht="19.5" hidden="false" customHeight="true" outlineLevel="0" collapsed="false">
      <c r="A31" s="10" t="s">
        <v>168</v>
      </c>
      <c r="B31" s="12" t="n">
        <v>3</v>
      </c>
      <c r="C31" s="12" t="n">
        <v>3</v>
      </c>
      <c r="D31" s="12" t="s">
        <v>181</v>
      </c>
      <c r="E31" s="38" t="s">
        <v>182</v>
      </c>
      <c r="F31" s="6" t="n">
        <v>1</v>
      </c>
      <c r="G31" s="12"/>
    </row>
    <row r="32" customFormat="false" ht="19.5" hidden="false" customHeight="true" outlineLevel="0" collapsed="false">
      <c r="A32" s="15" t="s">
        <v>171</v>
      </c>
      <c r="B32" s="17" t="n">
        <v>4</v>
      </c>
      <c r="C32" s="17" t="n">
        <v>4</v>
      </c>
      <c r="D32" s="17" t="s">
        <v>183</v>
      </c>
      <c r="E32" s="38" t="s">
        <v>182</v>
      </c>
      <c r="F32" s="6" t="n">
        <v>1</v>
      </c>
      <c r="G32" s="17"/>
    </row>
    <row r="33" customFormat="false" ht="19.5" hidden="false" customHeight="true" outlineLevel="0" collapsed="false">
      <c r="A33" s="37" t="s">
        <v>184</v>
      </c>
      <c r="B33" s="37"/>
      <c r="C33" s="37"/>
      <c r="D33" s="37"/>
      <c r="E33" s="37"/>
      <c r="F33" s="19" t="n">
        <f aca="false">SUM(F29:F32)</f>
        <v>4</v>
      </c>
      <c r="G33" s="23" t="s">
        <v>185</v>
      </c>
    </row>
    <row r="34" customFormat="false" ht="19.5" hidden="false" customHeight="true" outlineLevel="0" collapsed="false"/>
    <row r="35" customFormat="false" ht="19.5" hidden="false" customHeight="true" outlineLevel="0" collapsed="false">
      <c r="A35" s="37" t="s">
        <v>186</v>
      </c>
      <c r="B35" s="37"/>
      <c r="C35" s="37"/>
      <c r="D35" s="37"/>
      <c r="E35" s="37"/>
      <c r="F35" s="37"/>
      <c r="G35" s="37"/>
    </row>
    <row r="36" customFormat="false" ht="19.5" hidden="false" customHeight="true" outlineLevel="0" collapsed="false">
      <c r="A36" s="10" t="s">
        <v>9</v>
      </c>
      <c r="B36" s="10" t="s">
        <v>156</v>
      </c>
      <c r="C36" s="10" t="s">
        <v>187</v>
      </c>
      <c r="D36" s="10" t="s">
        <v>188</v>
      </c>
      <c r="E36" s="10" t="s">
        <v>179</v>
      </c>
      <c r="F36" s="10" t="s">
        <v>180</v>
      </c>
      <c r="G36" s="10"/>
    </row>
    <row r="37" customFormat="false" ht="19.5" hidden="false" customHeight="true" outlineLevel="0" collapsed="false">
      <c r="A37" s="10" t="s">
        <v>46</v>
      </c>
      <c r="B37" s="12" t="n">
        <v>5</v>
      </c>
      <c r="C37" s="12" t="s">
        <v>45</v>
      </c>
      <c r="D37" s="39" t="s">
        <v>189</v>
      </c>
      <c r="E37" s="38" t="s">
        <v>190</v>
      </c>
      <c r="F37" s="6" t="n">
        <v>1</v>
      </c>
      <c r="G37" s="12"/>
    </row>
    <row r="38" customFormat="false" ht="19.5" hidden="false" customHeight="true" outlineLevel="0" collapsed="false">
      <c r="A38" s="15" t="s">
        <v>49</v>
      </c>
      <c r="B38" s="17" t="n">
        <v>6</v>
      </c>
      <c r="C38" s="17" t="s">
        <v>48</v>
      </c>
      <c r="D38" s="39" t="s">
        <v>189</v>
      </c>
      <c r="E38" s="38" t="s">
        <v>190</v>
      </c>
      <c r="F38" s="6" t="n">
        <v>1</v>
      </c>
      <c r="G38" s="17"/>
    </row>
    <row r="39" customFormat="false" ht="19.5" hidden="false" customHeight="true" outlineLevel="0" collapsed="false">
      <c r="A39" s="10" t="s">
        <v>52</v>
      </c>
      <c r="B39" s="12" t="n">
        <v>7</v>
      </c>
      <c r="C39" s="12" t="s">
        <v>51</v>
      </c>
      <c r="D39" s="39" t="s">
        <v>189</v>
      </c>
      <c r="E39" s="38" t="s">
        <v>190</v>
      </c>
      <c r="F39" s="6" t="n">
        <v>1</v>
      </c>
      <c r="G39" s="12"/>
    </row>
    <row r="40" customFormat="false" ht="19.5" hidden="false" customHeight="true" outlineLevel="0" collapsed="false">
      <c r="A40" s="15" t="s">
        <v>191</v>
      </c>
      <c r="B40" s="17" t="n">
        <v>8</v>
      </c>
      <c r="C40" s="17" t="s">
        <v>102</v>
      </c>
      <c r="D40" s="39" t="s">
        <v>189</v>
      </c>
      <c r="E40" s="38" t="s">
        <v>190</v>
      </c>
      <c r="F40" s="6" t="n">
        <v>1</v>
      </c>
      <c r="G40" s="17"/>
    </row>
    <row r="41" customFormat="false" ht="19.5" hidden="false" customHeight="true" outlineLevel="0" collapsed="false">
      <c r="A41" s="37" t="s">
        <v>192</v>
      </c>
      <c r="B41" s="37"/>
      <c r="C41" s="37"/>
      <c r="D41" s="37"/>
      <c r="E41" s="37"/>
      <c r="F41" s="19" t="n">
        <f aca="false">SUM(F37:F40)</f>
        <v>4</v>
      </c>
      <c r="G41" s="23" t="s">
        <v>185</v>
      </c>
    </row>
    <row r="42" customFormat="false" ht="19.5" hidden="false" customHeight="true" outlineLevel="0" collapsed="false"/>
    <row r="43" customFormat="false" ht="19.5" hidden="false" customHeight="true" outlineLevel="0" collapsed="false">
      <c r="A43" s="37" t="s">
        <v>193</v>
      </c>
      <c r="B43" s="37"/>
      <c r="C43" s="37"/>
      <c r="D43" s="37"/>
      <c r="E43" s="37"/>
      <c r="F43" s="37"/>
      <c r="G43" s="37"/>
    </row>
    <row r="44" customFormat="false" ht="19.5" hidden="false" customHeight="true" outlineLevel="0" collapsed="false">
      <c r="A44" s="10" t="s">
        <v>9</v>
      </c>
      <c r="B44" s="10" t="s">
        <v>156</v>
      </c>
      <c r="C44" s="10" t="s">
        <v>194</v>
      </c>
      <c r="D44" s="10" t="s">
        <v>195</v>
      </c>
      <c r="E44" s="10" t="s">
        <v>179</v>
      </c>
      <c r="F44" s="10" t="s">
        <v>180</v>
      </c>
      <c r="G44" s="10"/>
    </row>
    <row r="45" customFormat="false" ht="19.5" hidden="false" customHeight="true" outlineLevel="0" collapsed="false">
      <c r="A45" s="10" t="s">
        <v>21</v>
      </c>
      <c r="B45" s="14" t="n">
        <v>19</v>
      </c>
      <c r="C45" s="12" t="n">
        <v>2</v>
      </c>
      <c r="D45" s="12" t="s">
        <v>51</v>
      </c>
      <c r="E45" s="38" t="s">
        <v>196</v>
      </c>
      <c r="F45" s="6" t="n">
        <v>1</v>
      </c>
      <c r="G45" s="12"/>
    </row>
    <row r="46" customFormat="false" ht="19.5" hidden="false" customHeight="true" outlineLevel="0" collapsed="false">
      <c r="A46" s="15" t="s">
        <v>23</v>
      </c>
      <c r="B46" s="14" t="n">
        <v>22</v>
      </c>
      <c r="C46" s="17" t="n">
        <v>2</v>
      </c>
      <c r="D46" s="17" t="s">
        <v>102</v>
      </c>
      <c r="E46" s="38" t="s">
        <v>196</v>
      </c>
      <c r="F46" s="6" t="n">
        <v>1</v>
      </c>
      <c r="G46" s="17"/>
    </row>
    <row r="47" customFormat="false" ht="19.5" hidden="false" customHeight="true" outlineLevel="0" collapsed="false">
      <c r="A47" s="10" t="s">
        <v>25</v>
      </c>
      <c r="B47" s="14" t="n">
        <v>43</v>
      </c>
      <c r="C47" s="12" t="n">
        <v>4</v>
      </c>
      <c r="D47" s="12" t="s">
        <v>51</v>
      </c>
      <c r="E47" s="38" t="s">
        <v>196</v>
      </c>
      <c r="F47" s="6" t="n">
        <v>1</v>
      </c>
      <c r="G47" s="12"/>
    </row>
    <row r="48" customFormat="false" ht="19.5" hidden="false" customHeight="true" outlineLevel="0" collapsed="false">
      <c r="A48" s="15" t="s">
        <v>27</v>
      </c>
      <c r="B48" s="14" t="n">
        <v>50</v>
      </c>
      <c r="C48" s="17" t="n">
        <v>4</v>
      </c>
      <c r="D48" s="17" t="s">
        <v>102</v>
      </c>
      <c r="E48" s="38" t="s">
        <v>196</v>
      </c>
      <c r="F48" s="6" t="n">
        <v>1</v>
      </c>
      <c r="G48" s="17"/>
    </row>
    <row r="49" customFormat="false" ht="19.5" hidden="false" customHeight="true" outlineLevel="0" collapsed="false">
      <c r="A49" s="37" t="s">
        <v>197</v>
      </c>
      <c r="B49" s="37"/>
      <c r="C49" s="37"/>
      <c r="D49" s="37"/>
      <c r="E49" s="37"/>
      <c r="F49" s="19" t="n">
        <f aca="false">SUM(F45:F48)</f>
        <v>4</v>
      </c>
      <c r="G49" s="23" t="s">
        <v>198</v>
      </c>
    </row>
    <row r="50" customFormat="false" ht="19.5" hidden="false" customHeight="true" outlineLevel="0" collapsed="false"/>
    <row r="51" customFormat="false" ht="27.75" hidden="false" customHeight="true" outlineLevel="0" collapsed="false">
      <c r="A51" s="35" t="s">
        <v>199</v>
      </c>
      <c r="B51" s="35"/>
      <c r="C51" s="35"/>
      <c r="D51" s="35"/>
      <c r="E51" s="35"/>
      <c r="F51" s="40" t="n">
        <f aca="false">F33+F41+F49</f>
        <v>12</v>
      </c>
      <c r="G51" s="14" t="s">
        <v>200</v>
      </c>
    </row>
    <row r="52" customFormat="false" ht="21.75" hidden="false" customHeight="true" outlineLevel="0" collapsed="false">
      <c r="A52" s="41" t="e">
        <f aca="false">4 (a reads) + 4 (b preloads) + 4 (c writes) = 12  — B never re-fetched during compute (weight-stationary advantage)</f>
        <v>#N/A</v>
      </c>
      <c r="B52" s="41"/>
      <c r="C52" s="41"/>
      <c r="D52" s="41"/>
      <c r="E52" s="41"/>
      <c r="F52" s="41"/>
      <c r="G52" s="41"/>
    </row>
    <row r="53" customFormat="false" ht="19.5" hidden="false" customHeight="true" outlineLevel="0" collapsed="false"/>
    <row r="54" customFormat="false" ht="19.5" hidden="false" customHeight="true" outlineLevel="0" collapsed="false"/>
    <row r="55" customFormat="false" ht="19.5" hidden="false" customHeight="true" outlineLevel="0" collapsed="false">
      <c r="A55" s="2" t="s">
        <v>201</v>
      </c>
      <c r="B55" s="2"/>
      <c r="C55" s="2"/>
      <c r="D55" s="2"/>
      <c r="E55" s="2"/>
      <c r="F55" s="2"/>
      <c r="G55" s="2"/>
    </row>
    <row r="56" customFormat="false" ht="49.5" hidden="false" customHeight="true" outlineLevel="0" collapsed="false">
      <c r="A56" s="22" t="s">
        <v>202</v>
      </c>
      <c r="B56" s="22"/>
      <c r="C56" s="22"/>
      <c r="D56" s="22"/>
      <c r="E56" s="22"/>
      <c r="F56" s="22"/>
      <c r="G56" s="22"/>
    </row>
    <row r="57" customFormat="false" ht="19.5" hidden="false" customHeight="true" outlineLevel="0" collapsed="false"/>
    <row r="58" customFormat="false" ht="19.5" hidden="false" customHeight="true" outlineLevel="0" collapsed="false"/>
    <row r="59" customFormat="false" ht="19.5" hidden="false" customHeight="true" outlineLevel="0" collapsed="false"/>
    <row r="60" customFormat="false" ht="19.5" hidden="false" customHeight="true" outlineLevel="0" collapsed="false"/>
    <row r="61" customFormat="false" ht="19.5" hidden="false" customHeight="true" outlineLevel="0" collapsed="false"/>
    <row r="62" customFormat="false" ht="19.5" hidden="false" customHeight="true" outlineLevel="0" collapsed="false"/>
    <row r="63" customFormat="false" ht="19.5" hidden="false" customHeight="true" outlineLevel="0" collapsed="false"/>
    <row r="64" customFormat="false" ht="19.5" hidden="false" customHeight="true" outlineLevel="0" collapsed="false"/>
    <row r="65" customFormat="false" ht="19.5" hidden="false" customHeight="true" outlineLevel="0" collapsed="false"/>
    <row r="66" customFormat="false" ht="19.5" hidden="false" customHeight="true" outlineLevel="0" collapsed="false"/>
    <row r="67" customFormat="false" ht="19.5" hidden="false" customHeight="true" outlineLevel="0" collapsed="false"/>
    <row r="68" customFormat="false" ht="19.5" hidden="false" customHeight="true" outlineLevel="0" collapsed="false"/>
    <row r="69" customFormat="false" ht="19.5" hidden="false" customHeight="true" outlineLevel="0" collapsed="false"/>
    <row r="70" customFormat="false" ht="19.5" hidden="false" customHeight="true" outlineLevel="0" collapsed="false"/>
    <row r="71" customFormat="false" ht="19.5" hidden="false" customHeight="true" outlineLevel="0" collapsed="false"/>
    <row r="72" customFormat="false" ht="19.5" hidden="false" customHeight="true" outlineLevel="0" collapsed="false"/>
    <row r="73" customFormat="false" ht="19.5" hidden="false" customHeight="true" outlineLevel="0" collapsed="false"/>
    <row r="74" customFormat="false" ht="19.5" hidden="false" customHeight="true" outlineLevel="0" collapsed="false"/>
    <row r="75" customFormat="false" ht="19.5" hidden="false" customHeight="true" outlineLevel="0" collapsed="false"/>
    <row r="76" customFormat="false" ht="19.5" hidden="false" customHeight="true" outlineLevel="0" collapsed="false"/>
    <row r="77" customFormat="false" ht="19.5" hidden="false" customHeight="true" outlineLevel="0" collapsed="false"/>
    <row r="78" customFormat="false" ht="19.5" hidden="false" customHeight="true" outlineLevel="0" collapsed="false"/>
    <row r="79" customFormat="false" ht="19.5" hidden="false" customHeight="true" outlineLevel="0" collapsed="false"/>
    <row r="80" customFormat="false" ht="19.5" hidden="false" customHeight="true" outlineLevel="0" collapsed="false"/>
    <row r="81" customFormat="false" ht="19.5" hidden="false" customHeight="true" outlineLevel="0" collapsed="false"/>
    <row r="82" customFormat="false" ht="19.5" hidden="false" customHeight="true" outlineLevel="0" collapsed="false"/>
    <row r="83" customFormat="false" ht="19.5" hidden="false" customHeight="true" outlineLevel="0" collapsed="false"/>
    <row r="84" customFormat="false" ht="19.5" hidden="false" customHeight="true" outlineLevel="0" collapsed="false"/>
    <row r="85" customFormat="false" ht="19.5" hidden="false" customHeight="true" outlineLevel="0" collapsed="false"/>
    <row r="86" customFormat="false" ht="19.5" hidden="false" customHeight="true" outlineLevel="0" collapsed="false"/>
    <row r="87" customFormat="false" ht="19.5" hidden="false" customHeight="true" outlineLevel="0" collapsed="false"/>
    <row r="88" customFormat="false" ht="19.5" hidden="false" customHeight="true" outlineLevel="0" collapsed="false"/>
    <row r="89" customFormat="false" ht="19.5" hidden="false" customHeight="true" outlineLevel="0" collapsed="false"/>
    <row r="90" customFormat="false" ht="19.5" hidden="false" customHeight="true" outlineLevel="0" collapsed="false"/>
    <row r="91" customFormat="false" ht="19.5" hidden="false" customHeight="true" outlineLevel="0" collapsed="false"/>
    <row r="92" customFormat="false" ht="19.5" hidden="false" customHeight="true" outlineLevel="0" collapsed="false"/>
    <row r="93" customFormat="false" ht="19.5" hidden="false" customHeight="true" outlineLevel="0" collapsed="false"/>
    <row r="94" customFormat="false" ht="19.5" hidden="false" customHeight="true" outlineLevel="0" collapsed="false"/>
    <row r="95" customFormat="false" ht="19.5" hidden="false" customHeight="true" outlineLevel="0" collapsed="false"/>
    <row r="96" customFormat="false" ht="19.5" hidden="false" customHeight="true" outlineLevel="0" collapsed="false"/>
    <row r="97" customFormat="false" ht="19.5" hidden="false" customHeight="true" outlineLevel="0" collapsed="false"/>
    <row r="98" customFormat="false" ht="19.5" hidden="false" customHeight="true" outlineLevel="0" collapsed="false"/>
    <row r="99" customFormat="false" ht="19.5" hidden="false" customHeight="true" outlineLevel="0" collapsed="false"/>
  </sheetData>
  <mergeCells count="17">
    <mergeCell ref="A1:G1"/>
    <mergeCell ref="A3:G3"/>
    <mergeCell ref="A13:F13"/>
    <mergeCell ref="A14:G14"/>
    <mergeCell ref="A17:G17"/>
    <mergeCell ref="A23:G23"/>
    <mergeCell ref="A26:G26"/>
    <mergeCell ref="A27:G27"/>
    <mergeCell ref="A33:E33"/>
    <mergeCell ref="A35:G35"/>
    <mergeCell ref="A41:E41"/>
    <mergeCell ref="A43:G43"/>
    <mergeCell ref="A49:E49"/>
    <mergeCell ref="A51:E51"/>
    <mergeCell ref="A52:G52"/>
    <mergeCell ref="A55:G55"/>
    <mergeCell ref="A56:G5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2026-04-29T22:03:12Z</dcterms:created>
  <dc:creator>openpyxl</dc:creator>
  <dc:description/>
  <dc:language>en-US</dc:language>
  <cp:lastModifiedBy/>
  <dcterms:modified xsi:type="dcterms:W3CDTF">2026-04-29T15:55:42Z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