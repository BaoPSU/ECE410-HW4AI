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Setup &amp; Verification" sheetId="1" state="visible" r:id="rId1"/>
    <sheet xmlns:r="http://schemas.openxmlformats.org/officeDocument/2006/relationships" name="2 - PE Weights" sheetId="2" state="visible" r:id="rId2"/>
    <sheet xmlns:r="http://schemas.openxmlformats.org/officeDocument/2006/relationships" name="3 - Cycle Trace" sheetId="3" state="visible" r:id="rId3"/>
    <sheet xmlns:r="http://schemas.openxmlformats.org/officeDocument/2006/relationships" name="4 - 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color rgb="00000000"/>
      <sz val="11"/>
    </font>
    <font>
      <color rgb="00000000"/>
      <sz val="12"/>
    </font>
    <font>
      <b val="1"/>
      <color rgb="00000000"/>
      <sz val="12"/>
    </font>
    <font>
      <color rgb="00000000"/>
      <sz val="11"/>
    </font>
    <font>
      <b val="1"/>
      <color rgb="00375623"/>
      <sz val="11"/>
    </font>
    <font>
      <b val="1"/>
      <color rgb="00FFFFFF"/>
      <sz val="13"/>
    </font>
    <font>
      <i val="1"/>
      <color rgb="00000000"/>
      <sz val="11"/>
    </font>
    <font>
      <i val="1"/>
      <color rgb="00595959"/>
      <sz val="11"/>
    </font>
    <font>
      <b val="1"/>
      <color rgb="00595959"/>
      <sz val="12"/>
    </font>
    <font>
      <i val="1"/>
      <color rgb="00375623"/>
      <sz val="11"/>
    </font>
    <font>
      <b val="1"/>
      <color rgb="00375623"/>
      <sz val="12"/>
    </font>
    <font>
      <b val="1"/>
      <color rgb="00375623"/>
      <sz val="14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0" customWidth="1" min="4" max="4"/>
    <col width="3" customWidth="1" min="5" max="5"/>
    <col width="14" customWidth="1" min="6" max="6"/>
    <col width="10" customWidth="1" min="7" max="7"/>
    <col width="10" customWidth="1" min="8" max="8"/>
    <col width="3" customWidth="1" min="9" max="9"/>
    <col width="14" customWidth="1" min="10" max="10"/>
    <col width="10" customWidth="1" min="11" max="11"/>
    <col width="10" customWidth="1" min="12" max="12"/>
    <col width="3" customWidth="1" min="13" max="13"/>
  </cols>
  <sheetData>
    <row r="1" ht="30" customHeight="1">
      <c r="A1" s="1" t="inlineStr">
        <is>
          <t>CF05 — Weight-Stationary 2×2 Systolic Array</t>
        </is>
      </c>
    </row>
    <row r="2" ht="20" customHeight="1"/>
    <row r="3" ht="20" customHeight="1">
      <c r="A3" s="2" t="inlineStr">
        <is>
          <t>Matrix A  (2×2)</t>
        </is>
      </c>
      <c r="F3" s="2" t="inlineStr">
        <is>
          <t>Matrix B  (2×2, weights)</t>
        </is>
      </c>
      <c r="K3" s="3" t="inlineStr">
        <is>
          <t>Expected  C = A×B</t>
        </is>
      </c>
    </row>
    <row r="4" ht="20" customHeight="1">
      <c r="A4" s="4" t="inlineStr"/>
      <c r="B4" s="4" t="inlineStr">
        <is>
          <t>Col 0</t>
        </is>
      </c>
      <c r="C4" s="4" t="inlineStr">
        <is>
          <t>Col 1</t>
        </is>
      </c>
      <c r="D4" t="inlineStr"/>
      <c r="F4" s="4" t="inlineStr"/>
      <c r="G4" s="4" t="inlineStr">
        <is>
          <t>Col 0</t>
        </is>
      </c>
      <c r="H4" s="4" t="inlineStr">
        <is>
          <t>Col 1</t>
        </is>
      </c>
      <c r="K4" s="5" t="inlineStr"/>
      <c r="L4" s="5" t="inlineStr">
        <is>
          <t>Col 0</t>
        </is>
      </c>
      <c r="M4" s="5" t="inlineStr">
        <is>
          <t>Col 1</t>
        </is>
      </c>
    </row>
    <row r="5" ht="20" customHeight="1">
      <c r="A5" s="6" t="inlineStr">
        <is>
          <t>Row 0</t>
        </is>
      </c>
      <c r="B5" s="7" t="n">
        <v>1</v>
      </c>
      <c r="C5" s="7" t="n">
        <v>2</v>
      </c>
      <c r="D5" t="inlineStr"/>
      <c r="F5" s="6" t="inlineStr">
        <is>
          <t>Row 0</t>
        </is>
      </c>
      <c r="G5" s="7" t="n">
        <v>5</v>
      </c>
      <c r="H5" s="7" t="n">
        <v>6</v>
      </c>
      <c r="K5" s="8" t="inlineStr">
        <is>
          <t>Row 0</t>
        </is>
      </c>
      <c r="L5" s="9" t="n">
        <v>19</v>
      </c>
      <c r="M5" s="9" t="n">
        <v>22</v>
      </c>
    </row>
    <row r="6" ht="20" customHeight="1">
      <c r="A6" s="6" t="inlineStr">
        <is>
          <t>Row 1</t>
        </is>
      </c>
      <c r="B6" s="7" t="n">
        <v>3</v>
      </c>
      <c r="C6" s="7" t="n">
        <v>4</v>
      </c>
      <c r="D6" t="inlineStr"/>
      <c r="F6" s="6" t="inlineStr">
        <is>
          <t>Row 1</t>
        </is>
      </c>
      <c r="G6" s="7" t="n">
        <v>7</v>
      </c>
      <c r="H6" s="7" t="n">
        <v>8</v>
      </c>
      <c r="K6" s="8" t="inlineStr">
        <is>
          <t>Row 1</t>
        </is>
      </c>
      <c r="L6" s="9" t="n">
        <v>43</v>
      </c>
      <c r="M6" s="9" t="n">
        <v>50</v>
      </c>
    </row>
    <row r="7" ht="20" customHeight="1"/>
    <row r="8" ht="20" customHeight="1"/>
    <row r="9" ht="24" customHeight="1">
      <c r="A9" s="2" t="inlineStr">
        <is>
          <t>Step-by-Step Verification:  C[i][j] = Σ A[i][k] × B[k][j]</t>
        </is>
      </c>
    </row>
    <row r="10" ht="22" customHeight="1">
      <c r="A10" s="6" t="inlineStr">
        <is>
          <t>Element</t>
        </is>
      </c>
      <c r="B10" s="6" t="inlineStr">
        <is>
          <t>Formula</t>
        </is>
      </c>
      <c r="C10" s="6" t="inlineStr">
        <is>
          <t>A[i][0]</t>
        </is>
      </c>
      <c r="D10" s="6" t="inlineStr">
        <is>
          <t>×</t>
        </is>
      </c>
      <c r="E10" s="6" t="inlineStr">
        <is>
          <t>B[0][j]</t>
        </is>
      </c>
      <c r="F10" s="6" t="inlineStr">
        <is>
          <t>+</t>
        </is>
      </c>
      <c r="G10" s="6" t="inlineStr">
        <is>
          <t>A[i][1]</t>
        </is>
      </c>
      <c r="H10" s="6" t="inlineStr">
        <is>
          <t>×</t>
        </is>
      </c>
      <c r="I10" s="6" t="inlineStr">
        <is>
          <t>B[1][j]</t>
        </is>
      </c>
      <c r="J10" s="6" t="inlineStr">
        <is>
          <t>=</t>
        </is>
      </c>
      <c r="K10" s="6" t="inlineStr">
        <is>
          <t>Sum</t>
        </is>
      </c>
      <c r="L10" s="6" t="inlineStr">
        <is>
          <t>Expected</t>
        </is>
      </c>
      <c r="M10" s="6" t="inlineStr">
        <is>
          <t>Match?</t>
        </is>
      </c>
    </row>
    <row r="11" ht="20" customHeight="1">
      <c r="A11" s="10" t="inlineStr">
        <is>
          <t>C[0][0]</t>
        </is>
      </c>
      <c r="B11" s="11" t="inlineStr">
        <is>
          <t>A[0][0]×B[0][0] + A[0][1]×B[1][0]</t>
        </is>
      </c>
      <c r="C11" s="12">
        <f>B5</f>
        <v/>
      </c>
      <c r="D11" s="12" t="inlineStr">
        <is>
          <t>×</t>
        </is>
      </c>
      <c r="E11" s="12">
        <f>G5</f>
        <v/>
      </c>
      <c r="F11" s="12" t="inlineStr">
        <is>
          <t>+</t>
        </is>
      </c>
      <c r="G11" s="12">
        <f>C5</f>
        <v/>
      </c>
      <c r="H11" s="12" t="inlineStr">
        <is>
          <t>×</t>
        </is>
      </c>
      <c r="I11" s="12">
        <f>G6</f>
        <v/>
      </c>
      <c r="J11" s="12" t="inlineStr">
        <is>
          <t>=</t>
        </is>
      </c>
      <c r="K11" s="13">
        <f>C11*E11+G11*I11</f>
        <v/>
      </c>
      <c r="L11" s="8" t="n">
        <v>19</v>
      </c>
      <c r="M11" s="14">
        <f>IF(K11=L11,"✓ PASS","✗ FAIL")</f>
        <v/>
      </c>
    </row>
    <row r="12" ht="20" customHeight="1">
      <c r="A12" s="15" t="inlineStr">
        <is>
          <t>C[0][1]</t>
        </is>
      </c>
      <c r="B12" s="16" t="inlineStr">
        <is>
          <t>A[0][0]×B[0][1] + A[0][1]×B[1][1]</t>
        </is>
      </c>
      <c r="C12" s="17">
        <f>B5</f>
        <v/>
      </c>
      <c r="D12" s="17" t="inlineStr">
        <is>
          <t>×</t>
        </is>
      </c>
      <c r="E12" s="17">
        <f>H5</f>
        <v/>
      </c>
      <c r="F12" s="17" t="inlineStr">
        <is>
          <t>+</t>
        </is>
      </c>
      <c r="G12" s="17">
        <f>C5</f>
        <v/>
      </c>
      <c r="H12" s="17" t="inlineStr">
        <is>
          <t>×</t>
        </is>
      </c>
      <c r="I12" s="17">
        <f>H6</f>
        <v/>
      </c>
      <c r="J12" s="17" t="inlineStr">
        <is>
          <t>=</t>
        </is>
      </c>
      <c r="K12" s="13">
        <f>C12*E12+G12*I12</f>
        <v/>
      </c>
      <c r="L12" s="8" t="n">
        <v>22</v>
      </c>
      <c r="M12" s="14">
        <f>IF(K12=L12,"✓ PASS","✗ FAIL")</f>
        <v/>
      </c>
    </row>
    <row r="13" ht="20" customHeight="1">
      <c r="A13" s="10" t="inlineStr">
        <is>
          <t>C[1][0]</t>
        </is>
      </c>
      <c r="B13" s="11" t="inlineStr">
        <is>
          <t>A[1][0]×B[0][0] + A[1][1]×B[1][0]</t>
        </is>
      </c>
      <c r="C13" s="12">
        <f>B6</f>
        <v/>
      </c>
      <c r="D13" s="12" t="inlineStr">
        <is>
          <t>×</t>
        </is>
      </c>
      <c r="E13" s="12">
        <f>G5</f>
        <v/>
      </c>
      <c r="F13" s="12" t="inlineStr">
        <is>
          <t>+</t>
        </is>
      </c>
      <c r="G13" s="12">
        <f>C6</f>
        <v/>
      </c>
      <c r="H13" s="12" t="inlineStr">
        <is>
          <t>×</t>
        </is>
      </c>
      <c r="I13" s="12">
        <f>G6</f>
        <v/>
      </c>
      <c r="J13" s="12" t="inlineStr">
        <is>
          <t>=</t>
        </is>
      </c>
      <c r="K13" s="13">
        <f>C13*E13+G13*I13</f>
        <v/>
      </c>
      <c r="L13" s="8" t="n">
        <v>43</v>
      </c>
      <c r="M13" s="14">
        <f>IF(K13=L13,"✓ PASS","✗ FAIL")</f>
        <v/>
      </c>
    </row>
    <row r="14" ht="20" customHeight="1">
      <c r="A14" s="15" t="inlineStr">
        <is>
          <t>C[1][1]</t>
        </is>
      </c>
      <c r="B14" s="16" t="inlineStr">
        <is>
          <t>A[1][0]×B[0][1] + A[1][1]×B[1][1]</t>
        </is>
      </c>
      <c r="C14" s="17">
        <f>B6</f>
        <v/>
      </c>
      <c r="D14" s="17" t="inlineStr">
        <is>
          <t>×</t>
        </is>
      </c>
      <c r="E14" s="17">
        <f>H5</f>
        <v/>
      </c>
      <c r="F14" s="17" t="inlineStr">
        <is>
          <t>+</t>
        </is>
      </c>
      <c r="G14" s="17">
        <f>C6</f>
        <v/>
      </c>
      <c r="H14" s="17" t="inlineStr">
        <is>
          <t>×</t>
        </is>
      </c>
      <c r="I14" s="17">
        <f>H6</f>
        <v/>
      </c>
      <c r="J14" s="17" t="inlineStr">
        <is>
          <t>=</t>
        </is>
      </c>
      <c r="K14" s="13">
        <f>C14*E14+G14*I14</f>
        <v/>
      </c>
      <c r="L14" s="8" t="n">
        <v>50</v>
      </c>
      <c r="M14" s="14">
        <f>IF(K14=L14,"✓ PASS","✗ FAIL")</f>
        <v/>
      </c>
    </row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5">
    <mergeCell ref="A1:M1"/>
    <mergeCell ref="F3:I3"/>
    <mergeCell ref="A3:D3"/>
    <mergeCell ref="A9:M9"/>
    <mergeCell ref="K3:M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8" t="inlineStr">
        <is>
          <t>PE Weight Assignment:  PE[i][j] preloads B[i][j]</t>
        </is>
      </c>
    </row>
    <row r="2" ht="22" customHeight="1"/>
    <row r="3" ht="22" customHeight="1">
      <c r="A3" s="2" t="inlineStr">
        <is>
          <t>Preloaded Weight Grid</t>
        </is>
      </c>
    </row>
    <row r="4" ht="22" customHeight="1">
      <c r="A4" s="4" t="inlineStr"/>
      <c r="B4" s="4" t="inlineStr">
        <is>
          <t>Column 0  (n=0)</t>
        </is>
      </c>
      <c r="C4" s="4" t="inlineStr">
        <is>
          <t>Column 1  (n=1)</t>
        </is>
      </c>
      <c r="D4" s="4" t="inlineStr">
        <is>
          <t>Role in C output</t>
        </is>
      </c>
    </row>
    <row r="5" ht="36" customHeight="1">
      <c r="A5" s="6" t="inlineStr">
        <is>
          <t>Row 0
(k=0)</t>
        </is>
      </c>
      <c r="B5" s="19" t="inlineStr">
        <is>
          <t>PE[0][0]
weight = B[0][0] = 5</t>
        </is>
      </c>
      <c r="C5" s="19" t="inlineStr">
        <is>
          <t>PE[0][1]
weight = B[0][1] = 6</t>
        </is>
      </c>
    </row>
    <row r="6" ht="36" customHeight="1">
      <c r="A6" s="6" t="inlineStr">
        <is>
          <t>Row 1
(k=1)</t>
        </is>
      </c>
      <c r="B6" s="19" t="inlineStr">
        <is>
          <t>PE[1][0]
weight = B[1][0] = 7</t>
        </is>
      </c>
      <c r="C6" s="19" t="inlineStr">
        <is>
          <t>PE[1][1]
weight = B[1][1] = 8</t>
        </is>
      </c>
    </row>
    <row r="7" ht="22" customHeight="1"/>
    <row r="8" ht="22" customHeight="1">
      <c r="A8" s="2" t="inlineStr">
        <is>
          <t>Individual PE Detail</t>
        </is>
      </c>
    </row>
    <row r="9" ht="22" customHeight="1">
      <c r="A9" s="6" t="inlineStr">
        <is>
          <t>PE</t>
        </is>
      </c>
      <c r="B9" s="6" t="inlineStr">
        <is>
          <t>Weight Source</t>
        </is>
      </c>
      <c r="C9" s="6" t="inlineStr">
        <is>
          <t>Weight Value</t>
        </is>
      </c>
      <c r="D9" s="6" t="inlineStr">
        <is>
          <t>Computes contribution to …</t>
        </is>
      </c>
    </row>
    <row r="10" ht="22" customHeight="1">
      <c r="A10" s="10" t="inlineStr">
        <is>
          <t>PE[0][0]</t>
        </is>
      </c>
      <c r="B10" s="12" t="inlineStr">
        <is>
          <t>B[0][0]</t>
        </is>
      </c>
      <c r="C10" s="13" t="n">
        <v>5</v>
      </c>
      <c r="D10" s="11" t="inlineStr">
        <is>
          <t>C[0][0] and C[1][0]  (k=0 term for column 0)</t>
        </is>
      </c>
    </row>
    <row r="11" ht="22" customHeight="1">
      <c r="A11" s="15" t="inlineStr">
        <is>
          <t>PE[0][1]</t>
        </is>
      </c>
      <c r="B11" s="17" t="inlineStr">
        <is>
          <t>B[0][1]</t>
        </is>
      </c>
      <c r="C11" s="13" t="n">
        <v>6</v>
      </c>
      <c r="D11" s="16" t="inlineStr">
        <is>
          <t>C[0][1] and C[1][1]  (k=0 term for column 1)</t>
        </is>
      </c>
    </row>
    <row r="12" ht="22" customHeight="1">
      <c r="A12" s="10" t="inlineStr">
        <is>
          <t>PE[1][0]</t>
        </is>
      </c>
      <c r="B12" s="12" t="inlineStr">
        <is>
          <t>B[1][0]</t>
        </is>
      </c>
      <c r="C12" s="13" t="n">
        <v>7</v>
      </c>
      <c r="D12" s="11" t="inlineStr">
        <is>
          <t>C[0][0] and C[1][0]  (k=1 term for column 0)</t>
        </is>
      </c>
    </row>
    <row r="13" ht="22" customHeight="1">
      <c r="A13" s="20" t="inlineStr">
        <is>
          <t>PE Operation Rule (every active cycle)</t>
        </is>
      </c>
      <c r="B13" s="21" t="n"/>
      <c r="C13" s="21" t="n"/>
      <c r="D13" s="22" t="n"/>
    </row>
    <row r="14" ht="26" customHeight="1">
      <c r="A14" s="19" t="inlineStr">
        <is>
          <t>partial_sum_out  =  partial_sum_in  +  ( input  ×  weight )</t>
        </is>
      </c>
    </row>
    <row r="15" ht="22" customHeight="1">
      <c r="A15" s="23" t="inlineStr">
        <is>
          <t>• partial_sum_in comes from the PE directly above (0 for Row 0)     • input is the A element broadcast into this row from the left</t>
        </is>
      </c>
    </row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</sheetData>
  <mergeCells count="6">
    <mergeCell ref="A1:D1"/>
    <mergeCell ref="A8:D8"/>
    <mergeCell ref="A3:D3"/>
    <mergeCell ref="A15:D15"/>
    <mergeCell ref="A13:D1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22" customWidth="1" min="4" max="4"/>
    <col width="22" customWidth="1" min="5" max="5"/>
    <col width="22" customWidth="1" min="6" max="6"/>
    <col width="22" customWidth="1" min="7" max="7"/>
    <col width="20" customWidth="1" min="8" max="8"/>
  </cols>
  <sheetData>
    <row r="1" ht="30" customHeight="1">
      <c r="A1" s="18" t="inlineStr">
        <is>
          <t>Cycle-by-Cycle Dataflow Trace  |  C = A × B  |  Weight-Stationary</t>
        </is>
      </c>
    </row>
    <row r="2" ht="20" customHeight="1"/>
    <row r="3" ht="20" customHeight="1">
      <c r="A3" s="2" t="inlineStr">
        <is>
          <t>Summary Table</t>
        </is>
      </c>
    </row>
    <row r="4" ht="28" customHeight="1">
      <c r="A4" s="6" t="inlineStr">
        <is>
          <t>Cycle</t>
        </is>
      </c>
      <c r="B4" s="6" t="inlineStr">
        <is>
          <t>Input → Row 0</t>
        </is>
      </c>
      <c r="C4" s="6" t="inlineStr">
        <is>
          <t>Input → Row 1</t>
        </is>
      </c>
      <c r="D4" s="6" t="inlineStr">
        <is>
          <t>PE[0][0]  partial sum</t>
        </is>
      </c>
      <c r="E4" s="6" t="inlineStr">
        <is>
          <t>PE[0][1]  partial sum</t>
        </is>
      </c>
      <c r="F4" s="6" t="inlineStr">
        <is>
          <t>PE[1][0]  partial sum</t>
        </is>
      </c>
      <c r="G4" s="6" t="inlineStr">
        <is>
          <t>PE[1][1]  partial sum</t>
        </is>
      </c>
      <c r="H4" s="6" t="inlineStr">
        <is>
          <t>Output C</t>
        </is>
      </c>
    </row>
    <row r="5" ht="22" customHeight="1">
      <c r="A5" s="10" t="n">
        <v>1</v>
      </c>
      <c r="B5" s="12" t="inlineStr">
        <is>
          <t>A[0][0] = 1</t>
        </is>
      </c>
      <c r="C5" s="12" t="inlineStr">
        <is>
          <t>bubble (0)</t>
        </is>
      </c>
      <c r="D5" s="24" t="inlineStr">
        <is>
          <t>0+(1×5)=5</t>
        </is>
      </c>
      <c r="E5" s="24" t="inlineStr">
        <is>
          <t>0+(1×6)=6</t>
        </is>
      </c>
      <c r="F5" s="12" t="inlineStr">
        <is>
          <t>0+(0×7)=0</t>
        </is>
      </c>
      <c r="G5" s="12" t="inlineStr">
        <is>
          <t>0+(0×8)=0</t>
        </is>
      </c>
      <c r="H5" s="17" t="inlineStr">
        <is>
          <t>—</t>
        </is>
      </c>
    </row>
    <row r="6" ht="22" customHeight="1">
      <c r="A6" s="15" t="n">
        <v>2</v>
      </c>
      <c r="B6" s="17" t="inlineStr">
        <is>
          <t>bubble (0)</t>
        </is>
      </c>
      <c r="C6" s="17" t="inlineStr">
        <is>
          <t>A[0][1] = 2</t>
        </is>
      </c>
      <c r="D6" s="12" t="inlineStr">
        <is>
          <t>holds 5</t>
        </is>
      </c>
      <c r="E6" s="12" t="inlineStr">
        <is>
          <t>holds 6</t>
        </is>
      </c>
      <c r="F6" s="8" t="inlineStr">
        <is>
          <t>5+(2×7)=19</t>
        </is>
      </c>
      <c r="G6" s="8" t="inlineStr">
        <is>
          <t>6+(2×8)=22</t>
        </is>
      </c>
      <c r="H6" s="14" t="inlineStr">
        <is>
          <t>C[0]=[19, 22]</t>
        </is>
      </c>
    </row>
    <row r="7" ht="22" customHeight="1">
      <c r="A7" s="10" t="n">
        <v>3</v>
      </c>
      <c r="B7" s="12" t="inlineStr">
        <is>
          <t>A[1][0] = 3</t>
        </is>
      </c>
      <c r="C7" s="12" t="inlineStr">
        <is>
          <t>bubble (0)</t>
        </is>
      </c>
      <c r="D7" s="24" t="inlineStr">
        <is>
          <t>0+(3×5)=15</t>
        </is>
      </c>
      <c r="E7" s="24" t="inlineStr">
        <is>
          <t>0+(3×6)=18</t>
        </is>
      </c>
      <c r="F7" s="12" t="inlineStr">
        <is>
          <t>0+(0×7)=0</t>
        </is>
      </c>
      <c r="G7" s="12" t="inlineStr">
        <is>
          <t>0+(0×8)=0</t>
        </is>
      </c>
      <c r="H7" s="17" t="inlineStr">
        <is>
          <t>—</t>
        </is>
      </c>
    </row>
    <row r="8" ht="22" customHeight="1">
      <c r="A8" s="15" t="n">
        <v>4</v>
      </c>
      <c r="B8" s="17" t="inlineStr">
        <is>
          <t>bubble (0)</t>
        </is>
      </c>
      <c r="C8" s="17" t="inlineStr">
        <is>
          <t>A[1][1] = 4</t>
        </is>
      </c>
      <c r="D8" s="12" t="inlineStr">
        <is>
          <t>holds 15</t>
        </is>
      </c>
      <c r="E8" s="12" t="inlineStr">
        <is>
          <t>holds 18</t>
        </is>
      </c>
      <c r="F8" s="8" t="inlineStr">
        <is>
          <t>15+(4×7)=43</t>
        </is>
      </c>
      <c r="G8" s="8" t="inlineStr">
        <is>
          <t>18+(4×8)=50</t>
        </is>
      </c>
      <c r="H8" s="14" t="inlineStr">
        <is>
          <t>C[1]=[43, 50]</t>
        </is>
      </c>
    </row>
    <row r="9" ht="20" customHeight="1"/>
    <row r="10" ht="20" customHeight="1"/>
    <row r="11" ht="26" customHeight="1">
      <c r="A11" s="25" t="inlineStr">
        <is>
          <t>CYCLE 1  |  Row 0 input: A[0][0] = 1   |   Row 1 input: bubble = 0</t>
        </is>
      </c>
    </row>
    <row r="12" ht="22" customHeight="1">
      <c r="A12" s="6" t="inlineStr">
        <is>
          <t>PE</t>
        </is>
      </c>
      <c r="B12" s="6" t="inlineStr">
        <is>
          <t>ps_in (from above)</t>
        </is>
      </c>
      <c r="C12" s="6" t="inlineStr">
        <is>
          <t>input (from left)</t>
        </is>
      </c>
      <c r="D12" s="6" t="inlineStr">
        <is>
          <t>weight (fixed)</t>
        </is>
      </c>
      <c r="E12" s="6" t="inlineStr">
        <is>
          <t>Calculation</t>
        </is>
      </c>
      <c r="F12" s="6" t="inlineStr">
        <is>
          <t>ps_out / Result</t>
        </is>
      </c>
      <c r="G12" s="6" t="inlineStr">
        <is>
          <t>Notes / Output</t>
        </is>
      </c>
    </row>
    <row r="13" ht="22" customHeight="1">
      <c r="A13" s="13" t="inlineStr">
        <is>
          <t>PE[0][0]</t>
        </is>
      </c>
      <c r="B13" s="24" t="n">
        <v>0</v>
      </c>
      <c r="C13" s="24" t="n">
        <v>1</v>
      </c>
      <c r="D13" s="24" t="n">
        <v>5</v>
      </c>
      <c r="E13" s="26" t="inlineStr">
        <is>
          <t>0 + (1 × 5) = 0 + 5 = 5</t>
        </is>
      </c>
      <c r="F13" s="13" t="n">
        <v>5</v>
      </c>
      <c r="G13" s="27" t="inlineStr">
        <is>
          <t>→ 0 + (1 × 5) = 5</t>
        </is>
      </c>
    </row>
    <row r="14" ht="22" customHeight="1">
      <c r="A14" s="13" t="inlineStr">
        <is>
          <t>PE[0][1]</t>
        </is>
      </c>
      <c r="B14" s="24" t="n">
        <v>0</v>
      </c>
      <c r="C14" s="24" t="n">
        <v>1</v>
      </c>
      <c r="D14" s="24" t="n">
        <v>6</v>
      </c>
      <c r="E14" s="26" t="inlineStr">
        <is>
          <t>0 + (1 × 6) = 0 + 6 = 6</t>
        </is>
      </c>
      <c r="F14" s="13" t="n">
        <v>6</v>
      </c>
      <c r="G14" s="27" t="inlineStr">
        <is>
          <t>→ 0 + (1 × 6) = 6</t>
        </is>
      </c>
    </row>
    <row r="15" ht="22" customHeight="1">
      <c r="A15" s="10" t="inlineStr">
        <is>
          <t>PE[1][0]</t>
        </is>
      </c>
      <c r="B15" s="12" t="n">
        <v>0</v>
      </c>
      <c r="C15" s="12" t="n">
        <v>0</v>
      </c>
      <c r="D15" s="12" t="n">
        <v>7</v>
      </c>
      <c r="E15" s="11" t="inlineStr">
        <is>
          <t>0 + (0 × 7) = 0 + 0 = 0</t>
        </is>
      </c>
      <c r="F15" s="10" t="n">
        <v>0</v>
      </c>
      <c r="G15" s="28" t="inlineStr">
        <is>
          <t>→ 0 + (0 × 7) = 0  [bubble]</t>
        </is>
      </c>
    </row>
    <row r="16" ht="22" customHeight="1">
      <c r="A16" s="10" t="inlineStr">
        <is>
          <t>PE[1][1]</t>
        </is>
      </c>
      <c r="B16" s="12" t="n">
        <v>0</v>
      </c>
      <c r="C16" s="12" t="n">
        <v>0</v>
      </c>
      <c r="D16" s="12" t="n">
        <v>8</v>
      </c>
      <c r="E16" s="11" t="inlineStr">
        <is>
          <t>0 + (0 × 8) = 0 + 0 = 0</t>
        </is>
      </c>
      <c r="F16" s="10" t="n">
        <v>0</v>
      </c>
      <c r="G16" s="28" t="inlineStr">
        <is>
          <t>→ 0 + (0 × 8) = 0  [bubble]</t>
        </is>
      </c>
    </row>
    <row r="17" ht="24" customHeight="1">
      <c r="A17" s="29" t="inlineStr">
        <is>
          <t>⟹  No output</t>
        </is>
      </c>
    </row>
    <row r="18" ht="20" customHeight="1"/>
    <row r="19" ht="26" customHeight="1">
      <c r="A19" s="30" t="inlineStr">
        <is>
          <t>CYCLE 2  |  Row 0 input: bubble = 0   |   Row 1 input: A[0][1] = 2</t>
        </is>
      </c>
    </row>
    <row r="20" ht="22" customHeight="1">
      <c r="A20" s="6" t="inlineStr">
        <is>
          <t>PE</t>
        </is>
      </c>
      <c r="B20" s="6" t="inlineStr">
        <is>
          <t>ps_in (from above)</t>
        </is>
      </c>
      <c r="C20" s="6" t="inlineStr">
        <is>
          <t>input (from left)</t>
        </is>
      </c>
      <c r="D20" s="6" t="inlineStr">
        <is>
          <t>weight (fixed)</t>
        </is>
      </c>
      <c r="E20" s="6" t="inlineStr">
        <is>
          <t>Calculation</t>
        </is>
      </c>
      <c r="F20" s="6" t="inlineStr">
        <is>
          <t>ps_out / Result</t>
        </is>
      </c>
      <c r="G20" s="6" t="inlineStr">
        <is>
          <t>Notes / Output</t>
        </is>
      </c>
    </row>
    <row r="21" ht="22" customHeight="1">
      <c r="A21" s="10" t="inlineStr">
        <is>
          <t>PE[0][0]</t>
        </is>
      </c>
      <c r="B21" s="12" t="n">
        <v>5</v>
      </c>
      <c r="C21" s="12" t="inlineStr">
        <is>
          <t>—</t>
        </is>
      </c>
      <c r="D21" s="12" t="n">
        <v>5</v>
      </c>
      <c r="E21" s="11" t="inlineStr">
        <is>
          <t>holds 5</t>
        </is>
      </c>
      <c r="F21" s="10" t="n">
        <v>5</v>
      </c>
      <c r="G21" s="28" t="inlineStr">
        <is>
          <t>holds partial sum = 5 (drains to PE[1][0])</t>
        </is>
      </c>
    </row>
    <row r="22" ht="22" customHeight="1">
      <c r="A22" s="10" t="inlineStr">
        <is>
          <t>PE[0][1]</t>
        </is>
      </c>
      <c r="B22" s="12" t="n">
        <v>6</v>
      </c>
      <c r="C22" s="12" t="inlineStr">
        <is>
          <t>—</t>
        </is>
      </c>
      <c r="D22" s="12" t="n">
        <v>6</v>
      </c>
      <c r="E22" s="11" t="inlineStr">
        <is>
          <t>holds 6</t>
        </is>
      </c>
      <c r="F22" s="10" t="n">
        <v>6</v>
      </c>
      <c r="G22" s="28" t="inlineStr">
        <is>
          <t>holds partial sum = 6 (drains to PE[1][1])</t>
        </is>
      </c>
    </row>
    <row r="23" ht="22" customHeight="1">
      <c r="A23" s="8" t="inlineStr">
        <is>
          <t>PE[1][0]</t>
        </is>
      </c>
      <c r="B23" s="31" t="n">
        <v>5</v>
      </c>
      <c r="C23" s="31" t="n">
        <v>2</v>
      </c>
      <c r="D23" s="31" t="n">
        <v>7</v>
      </c>
      <c r="E23" s="32" t="inlineStr">
        <is>
          <t>5 + (2 × 7) = 5 + 14 = 19</t>
        </is>
      </c>
      <c r="F23" s="8" t="n">
        <v>19</v>
      </c>
      <c r="G23" s="33" t="inlineStr">
        <is>
          <t>→ 5 + (2 × 7) = 5 + 14 = 19  → C[0][0]</t>
        </is>
      </c>
    </row>
    <row r="24" ht="22" customHeight="1">
      <c r="A24" s="8" t="inlineStr">
        <is>
          <t>PE[1][1]</t>
        </is>
      </c>
      <c r="B24" s="31" t="n">
        <v>6</v>
      </c>
      <c r="C24" s="31" t="n">
        <v>2</v>
      </c>
      <c r="D24" s="31" t="n">
        <v>8</v>
      </c>
      <c r="E24" s="32" t="inlineStr">
        <is>
          <t>6 + (2 × 8) = 6 + 16 = 22</t>
        </is>
      </c>
      <c r="F24" s="8" t="n">
        <v>22</v>
      </c>
      <c r="G24" s="33" t="inlineStr">
        <is>
          <t>→ 6 + (2 × 8) = 6 + 16 = 22  → C[0][1]</t>
        </is>
      </c>
    </row>
    <row r="25" ht="24" customHeight="1">
      <c r="A25" s="34" t="inlineStr">
        <is>
          <t>⟹  OUTPUT  C[0] = [19, 22]</t>
        </is>
      </c>
    </row>
    <row r="26" ht="20" customHeight="1"/>
    <row r="27" ht="26" customHeight="1">
      <c r="A27" s="25" t="inlineStr">
        <is>
          <t>CYCLE 3  |  Row 0 input: A[1][0] = 3   |   Row 1 input: bubble = 0</t>
        </is>
      </c>
    </row>
    <row r="28" ht="22" customHeight="1">
      <c r="A28" s="6" t="inlineStr">
        <is>
          <t>PE</t>
        </is>
      </c>
      <c r="B28" s="6" t="inlineStr">
        <is>
          <t>ps_in (from above)</t>
        </is>
      </c>
      <c r="C28" s="6" t="inlineStr">
        <is>
          <t>input (from left)</t>
        </is>
      </c>
      <c r="D28" s="6" t="inlineStr">
        <is>
          <t>weight (fixed)</t>
        </is>
      </c>
      <c r="E28" s="6" t="inlineStr">
        <is>
          <t>Calculation</t>
        </is>
      </c>
      <c r="F28" s="6" t="inlineStr">
        <is>
          <t>ps_out / Result</t>
        </is>
      </c>
      <c r="G28" s="6" t="inlineStr">
        <is>
          <t>Notes / Output</t>
        </is>
      </c>
    </row>
    <row r="29" ht="22" customHeight="1">
      <c r="A29" s="13" t="inlineStr">
        <is>
          <t>PE[0][0]</t>
        </is>
      </c>
      <c r="B29" s="24" t="n">
        <v>0</v>
      </c>
      <c r="C29" s="24" t="n">
        <v>3</v>
      </c>
      <c r="D29" s="24" t="n">
        <v>5</v>
      </c>
      <c r="E29" s="26" t="inlineStr">
        <is>
          <t>0 + (3 × 5) = 0 + 15 = 15</t>
        </is>
      </c>
      <c r="F29" s="13" t="n">
        <v>15</v>
      </c>
      <c r="G29" s="27" t="inlineStr">
        <is>
          <t>→ 0 + (3 × 5) = 15  [row 0 partial sum reset]</t>
        </is>
      </c>
    </row>
    <row r="30" ht="22" customHeight="1">
      <c r="A30" s="13" t="inlineStr">
        <is>
          <t>PE[0][1]</t>
        </is>
      </c>
      <c r="B30" s="24" t="n">
        <v>0</v>
      </c>
      <c r="C30" s="24" t="n">
        <v>3</v>
      </c>
      <c r="D30" s="24" t="n">
        <v>6</v>
      </c>
      <c r="E30" s="26" t="inlineStr">
        <is>
          <t>0 + (3 × 6) = 0 + 18 = 18</t>
        </is>
      </c>
      <c r="F30" s="13" t="n">
        <v>18</v>
      </c>
      <c r="G30" s="27" t="inlineStr">
        <is>
          <t>→ 0 + (3 × 6) = 18  [row 0 partial sum reset]</t>
        </is>
      </c>
    </row>
    <row r="31" ht="22" customHeight="1">
      <c r="A31" s="10" t="inlineStr">
        <is>
          <t>PE[1][0]</t>
        </is>
      </c>
      <c r="B31" s="12" t="n">
        <v>0</v>
      </c>
      <c r="C31" s="12" t="n">
        <v>0</v>
      </c>
      <c r="D31" s="12" t="n">
        <v>7</v>
      </c>
      <c r="E31" s="11" t="inlineStr">
        <is>
          <t>0 + (0 × 7) = 0 + 0 = 0</t>
        </is>
      </c>
      <c r="F31" s="10" t="n">
        <v>0</v>
      </c>
      <c r="G31" s="28" t="inlineStr">
        <is>
          <t>→ 0 + (0 × 7) = 0   [bubble / reset]</t>
        </is>
      </c>
    </row>
    <row r="32" ht="22" customHeight="1">
      <c r="A32" s="10" t="inlineStr">
        <is>
          <t>PE[1][1]</t>
        </is>
      </c>
      <c r="B32" s="12" t="n">
        <v>0</v>
      </c>
      <c r="C32" s="12" t="n">
        <v>0</v>
      </c>
      <c r="D32" s="12" t="n">
        <v>8</v>
      </c>
      <c r="E32" s="11" t="inlineStr">
        <is>
          <t>0 + (0 × 8) = 0 + 0 = 0</t>
        </is>
      </c>
      <c r="F32" s="10" t="n">
        <v>0</v>
      </c>
      <c r="G32" s="28" t="inlineStr">
        <is>
          <t>→ 0 + (0 × 8) = 0   [bubble / reset]</t>
        </is>
      </c>
    </row>
    <row r="33" ht="24" customHeight="1">
      <c r="A33" s="29" t="inlineStr">
        <is>
          <t>⟹  No output</t>
        </is>
      </c>
    </row>
    <row r="34" ht="20" customHeight="1"/>
    <row r="35" ht="26" customHeight="1">
      <c r="A35" s="30" t="inlineStr">
        <is>
          <t>CYCLE 4  |  Row 0 input: bubble = 0   |   Row 1 input: A[1][1] = 4</t>
        </is>
      </c>
    </row>
    <row r="36" ht="22" customHeight="1">
      <c r="A36" s="6" t="inlineStr">
        <is>
          <t>PE</t>
        </is>
      </c>
      <c r="B36" s="6" t="inlineStr">
        <is>
          <t>ps_in (from above)</t>
        </is>
      </c>
      <c r="C36" s="6" t="inlineStr">
        <is>
          <t>input (from left)</t>
        </is>
      </c>
      <c r="D36" s="6" t="inlineStr">
        <is>
          <t>weight (fixed)</t>
        </is>
      </c>
      <c r="E36" s="6" t="inlineStr">
        <is>
          <t>Calculation</t>
        </is>
      </c>
      <c r="F36" s="6" t="inlineStr">
        <is>
          <t>ps_out / Result</t>
        </is>
      </c>
      <c r="G36" s="6" t="inlineStr">
        <is>
          <t>Notes / Output</t>
        </is>
      </c>
    </row>
    <row r="37" ht="22" customHeight="1">
      <c r="A37" s="10" t="inlineStr">
        <is>
          <t>PE[0][0]</t>
        </is>
      </c>
      <c r="B37" s="12" t="n">
        <v>15</v>
      </c>
      <c r="C37" s="12" t="inlineStr">
        <is>
          <t>—</t>
        </is>
      </c>
      <c r="D37" s="12" t="n">
        <v>5</v>
      </c>
      <c r="E37" s="11" t="inlineStr">
        <is>
          <t>holds 15</t>
        </is>
      </c>
      <c r="F37" s="10" t="n">
        <v>15</v>
      </c>
      <c r="G37" s="28" t="inlineStr">
        <is>
          <t>holds partial sum = 15 (drains to PE[1][0])</t>
        </is>
      </c>
    </row>
    <row r="38" ht="22" customHeight="1">
      <c r="A38" s="10" t="inlineStr">
        <is>
          <t>PE[0][1]</t>
        </is>
      </c>
      <c r="B38" s="12" t="n">
        <v>18</v>
      </c>
      <c r="C38" s="12" t="inlineStr">
        <is>
          <t>—</t>
        </is>
      </c>
      <c r="D38" s="12" t="n">
        <v>6</v>
      </c>
      <c r="E38" s="11" t="inlineStr">
        <is>
          <t>holds 18</t>
        </is>
      </c>
      <c r="F38" s="10" t="n">
        <v>18</v>
      </c>
      <c r="G38" s="28" t="inlineStr">
        <is>
          <t>holds partial sum = 18 (drains to PE[1][1])</t>
        </is>
      </c>
    </row>
    <row r="39" ht="22" customHeight="1">
      <c r="A39" s="8" t="inlineStr">
        <is>
          <t>PE[1][0]</t>
        </is>
      </c>
      <c r="B39" s="31" t="n">
        <v>15</v>
      </c>
      <c r="C39" s="31" t="n">
        <v>4</v>
      </c>
      <c r="D39" s="31" t="n">
        <v>7</v>
      </c>
      <c r="E39" s="32" t="inlineStr">
        <is>
          <t>15 + (4 × 7) = 15 + 28 = 43</t>
        </is>
      </c>
      <c r="F39" s="8" t="n">
        <v>43</v>
      </c>
      <c r="G39" s="33" t="inlineStr">
        <is>
          <t>→ 15 + (4 × 7) = 15 + 28 = 43  → C[1][0]</t>
        </is>
      </c>
    </row>
    <row r="40" ht="22" customHeight="1">
      <c r="A40" s="8" t="inlineStr">
        <is>
          <t>PE[1][1]</t>
        </is>
      </c>
      <c r="B40" s="31" t="n">
        <v>18</v>
      </c>
      <c r="C40" s="31" t="n">
        <v>4</v>
      </c>
      <c r="D40" s="31" t="n">
        <v>8</v>
      </c>
      <c r="E40" s="32" t="inlineStr">
        <is>
          <t>18 + (4 × 8) = 18 + 32 = 50</t>
        </is>
      </c>
      <c r="F40" s="8" t="n">
        <v>50</v>
      </c>
      <c r="G40" s="33" t="inlineStr">
        <is>
          <t>→ 18 + (4 × 8) = 18 + 32 = 50  → C[1][1]</t>
        </is>
      </c>
    </row>
    <row r="41" ht="24" customHeight="1">
      <c r="A41" s="34" t="inlineStr">
        <is>
          <t>⟹  OUTPUT  C[1] = [43, 50]</t>
        </is>
      </c>
    </row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</sheetData>
  <mergeCells count="30">
    <mergeCell ref="G21:H21"/>
    <mergeCell ref="G12:H12"/>
    <mergeCell ref="G36:H36"/>
    <mergeCell ref="A11:H11"/>
    <mergeCell ref="G23:H23"/>
    <mergeCell ref="A1:H1"/>
    <mergeCell ref="G39:H39"/>
    <mergeCell ref="G38:H38"/>
    <mergeCell ref="A25:H25"/>
    <mergeCell ref="G37:H37"/>
    <mergeCell ref="A41:H41"/>
    <mergeCell ref="G28:H28"/>
    <mergeCell ref="G13:H13"/>
    <mergeCell ref="A27:H27"/>
    <mergeCell ref="A3:H3"/>
    <mergeCell ref="G24:H24"/>
    <mergeCell ref="G30:H30"/>
    <mergeCell ref="G15:H15"/>
    <mergeCell ref="A33:H33"/>
    <mergeCell ref="G14:H14"/>
    <mergeCell ref="A17:H17"/>
    <mergeCell ref="G29:H29"/>
    <mergeCell ref="G20:H20"/>
    <mergeCell ref="A35:H35"/>
    <mergeCell ref="G16:H16"/>
    <mergeCell ref="G32:H32"/>
    <mergeCell ref="A19:H19"/>
    <mergeCell ref="G31:H31"/>
    <mergeCell ref="G22:H22"/>
    <mergeCell ref="G40:H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6" customWidth="1" min="4" max="4"/>
    <col width="22" customWidth="1" min="5" max="5"/>
    <col width="14" customWidth="1" min="6" max="6"/>
    <col width="14" customWidth="1" min="7" max="7"/>
  </cols>
  <sheetData>
    <row r="1" ht="30" customHeight="1">
      <c r="A1" s="18" t="inlineStr">
        <is>
          <t>CF05 Counts  —  MAC Operations · Input Reuse · Off-Chip Accesses</t>
        </is>
      </c>
    </row>
    <row r="2" ht="20" customHeight="1"/>
    <row r="3" ht="20" customHeight="1">
      <c r="A3" s="2" t="inlineStr">
        <is>
          <t>(a)  Total MAC Operations</t>
        </is>
      </c>
    </row>
    <row r="4" ht="22" customHeight="1">
      <c r="A4" s="6" t="inlineStr">
        <is>
          <t>#</t>
        </is>
      </c>
      <c r="B4" s="6" t="inlineStr">
        <is>
          <t>PE</t>
        </is>
      </c>
      <c r="C4" s="6" t="inlineStr">
        <is>
          <t>Cycle</t>
        </is>
      </c>
      <c r="D4" s="6" t="inlineStr">
        <is>
          <t>ps_in</t>
        </is>
      </c>
      <c r="E4" s="6" t="inlineStr">
        <is>
          <t>input × weight</t>
        </is>
      </c>
      <c r="F4" s="6" t="inlineStr">
        <is>
          <t>product</t>
        </is>
      </c>
      <c r="G4" s="6" t="inlineStr">
        <is>
          <t>ps_out  (=MAC result)</t>
        </is>
      </c>
    </row>
    <row r="5" ht="20" customHeight="1">
      <c r="A5" s="10" t="inlineStr">
        <is>
          <t>MAC #1</t>
        </is>
      </c>
      <c r="B5" s="12" t="inlineStr">
        <is>
          <t>PE[0][0]</t>
        </is>
      </c>
      <c r="C5" s="12" t="n">
        <v>1</v>
      </c>
      <c r="D5" s="12" t="n">
        <v>0</v>
      </c>
      <c r="E5" s="24" t="inlineStr">
        <is>
          <t>1 × 5</t>
        </is>
      </c>
      <c r="F5" s="24" t="n">
        <v>5</v>
      </c>
      <c r="G5" s="24" t="n">
        <v>5</v>
      </c>
    </row>
    <row r="6" ht="20" customHeight="1">
      <c r="A6" s="15" t="inlineStr">
        <is>
          <t>MAC #2</t>
        </is>
      </c>
      <c r="B6" s="17" t="inlineStr">
        <is>
          <t>PE[0][1]</t>
        </is>
      </c>
      <c r="C6" s="17" t="n">
        <v>1</v>
      </c>
      <c r="D6" s="17" t="n">
        <v>0</v>
      </c>
      <c r="E6" s="24" t="inlineStr">
        <is>
          <t>1 × 6</t>
        </is>
      </c>
      <c r="F6" s="24" t="n">
        <v>6</v>
      </c>
      <c r="G6" s="24" t="n">
        <v>6</v>
      </c>
    </row>
    <row r="7" ht="20" customHeight="1">
      <c r="A7" s="10" t="inlineStr">
        <is>
          <t>MAC #3</t>
        </is>
      </c>
      <c r="B7" s="12" t="inlineStr">
        <is>
          <t>PE[1][0]</t>
        </is>
      </c>
      <c r="C7" s="12" t="n">
        <v>2</v>
      </c>
      <c r="D7" s="12" t="n">
        <v>5</v>
      </c>
      <c r="E7" s="24" t="inlineStr">
        <is>
          <t>2 × 7</t>
        </is>
      </c>
      <c r="F7" s="24" t="n">
        <v>14</v>
      </c>
      <c r="G7" s="14" t="n">
        <v>19</v>
      </c>
    </row>
    <row r="8" ht="20" customHeight="1">
      <c r="A8" s="15" t="inlineStr">
        <is>
          <t>MAC #4</t>
        </is>
      </c>
      <c r="B8" s="17" t="inlineStr">
        <is>
          <t>PE[1][1]</t>
        </is>
      </c>
      <c r="C8" s="17" t="n">
        <v>2</v>
      </c>
      <c r="D8" s="17" t="n">
        <v>6</v>
      </c>
      <c r="E8" s="24" t="inlineStr">
        <is>
          <t>2 × 8</t>
        </is>
      </c>
      <c r="F8" s="24" t="n">
        <v>16</v>
      </c>
      <c r="G8" s="14" t="n">
        <v>22</v>
      </c>
    </row>
    <row r="9" ht="20" customHeight="1">
      <c r="A9" s="10" t="inlineStr">
        <is>
          <t>MAC #5</t>
        </is>
      </c>
      <c r="B9" s="12" t="inlineStr">
        <is>
          <t>PE[0][0]</t>
        </is>
      </c>
      <c r="C9" s="12" t="n">
        <v>3</v>
      </c>
      <c r="D9" s="12" t="n">
        <v>0</v>
      </c>
      <c r="E9" s="24" t="inlineStr">
        <is>
          <t>3 × 5</t>
        </is>
      </c>
      <c r="F9" s="24" t="n">
        <v>15</v>
      </c>
      <c r="G9" s="24" t="n">
        <v>15</v>
      </c>
    </row>
    <row r="10" ht="20" customHeight="1">
      <c r="A10" s="15" t="inlineStr">
        <is>
          <t>MAC #6</t>
        </is>
      </c>
      <c r="B10" s="17" t="inlineStr">
        <is>
          <t>PE[0][1]</t>
        </is>
      </c>
      <c r="C10" s="17" t="n">
        <v>3</v>
      </c>
      <c r="D10" s="17" t="n">
        <v>0</v>
      </c>
      <c r="E10" s="24" t="inlineStr">
        <is>
          <t>3 × 6</t>
        </is>
      </c>
      <c r="F10" s="24" t="n">
        <v>18</v>
      </c>
      <c r="G10" s="24" t="n">
        <v>18</v>
      </c>
    </row>
    <row r="11" ht="20" customHeight="1">
      <c r="A11" s="10" t="inlineStr">
        <is>
          <t>MAC #7</t>
        </is>
      </c>
      <c r="B11" s="12" t="inlineStr">
        <is>
          <t>PE[1][0]</t>
        </is>
      </c>
      <c r="C11" s="12" t="n">
        <v>4</v>
      </c>
      <c r="D11" s="12" t="n">
        <v>15</v>
      </c>
      <c r="E11" s="24" t="inlineStr">
        <is>
          <t>4 × 7</t>
        </is>
      </c>
      <c r="F11" s="24" t="n">
        <v>28</v>
      </c>
      <c r="G11" s="14" t="n">
        <v>43</v>
      </c>
    </row>
    <row r="12" ht="20" customHeight="1">
      <c r="A12" s="15" t="inlineStr">
        <is>
          <t>MAC #8</t>
        </is>
      </c>
      <c r="B12" s="17" t="inlineStr">
        <is>
          <t>PE[1][1]</t>
        </is>
      </c>
      <c r="C12" s="17" t="n">
        <v>4</v>
      </c>
      <c r="D12" s="17" t="n">
        <v>18</v>
      </c>
      <c r="E12" s="24" t="inlineStr">
        <is>
          <t>4 × 8</t>
        </is>
      </c>
      <c r="F12" s="24" t="n">
        <v>32</v>
      </c>
      <c r="G12" s="14" t="n">
        <v>50</v>
      </c>
    </row>
    <row r="13" ht="20" customHeight="1">
      <c r="A13" s="20" t="inlineStr">
        <is>
          <t>TOTAL MAC OPERATIONS  =  8</t>
        </is>
      </c>
      <c r="G13" s="19">
        <f>COUNTA(A5:A12)</f>
        <v/>
      </c>
    </row>
    <row r="14" ht="22" customHeight="1">
      <c r="A14" s="33" t="inlineStr">
        <is>
          <t>Cross-check:  M × K × N = 2 × 2 × 2 = 8  ✓   (every A×B element contributes exactly one MAC)</t>
        </is>
      </c>
    </row>
    <row r="15" ht="20" customHeight="1"/>
    <row r="16" ht="20" customHeight="1"/>
    <row r="17" ht="20" customHeight="1">
      <c r="A17" s="2" t="inlineStr">
        <is>
          <t>(b)  Input Value Reuse</t>
        </is>
      </c>
    </row>
    <row r="18" ht="22" customHeight="1">
      <c r="A18" s="6" t="inlineStr">
        <is>
          <t>A element</t>
        </is>
      </c>
      <c r="B18" s="6" t="inlineStr">
        <is>
          <t>Value</t>
        </is>
      </c>
      <c r="C18" s="6" t="inlineStr">
        <is>
          <t>Cycle used</t>
        </is>
      </c>
      <c r="D18" s="6" t="inlineStr">
        <is>
          <t>PE use #1</t>
        </is>
      </c>
      <c r="E18" s="6" t="inlineStr">
        <is>
          <t>Computation #1</t>
        </is>
      </c>
      <c r="F18" s="6" t="inlineStr">
        <is>
          <t>PE use #2</t>
        </is>
      </c>
      <c r="G18" s="6" t="inlineStr">
        <is>
          <t>Computation #2</t>
        </is>
      </c>
    </row>
    <row r="19" ht="20" customHeight="1">
      <c r="A19" s="10" t="inlineStr">
        <is>
          <t>A[0][0]</t>
        </is>
      </c>
      <c r="B19" s="12" t="n">
        <v>1</v>
      </c>
      <c r="C19" s="12" t="n">
        <v>1</v>
      </c>
      <c r="D19" s="24" t="inlineStr">
        <is>
          <t>PE[0][0]</t>
        </is>
      </c>
      <c r="E19" s="24" t="inlineStr">
        <is>
          <t>1 × 5 = 5</t>
        </is>
      </c>
      <c r="F19" s="35" t="inlineStr">
        <is>
          <t>PE[0][1]</t>
        </is>
      </c>
      <c r="G19" s="35" t="inlineStr">
        <is>
          <t>1 × 6 = 6</t>
        </is>
      </c>
    </row>
    <row r="20" ht="20" customHeight="1">
      <c r="A20" s="15" t="inlineStr">
        <is>
          <t>A[0][1]</t>
        </is>
      </c>
      <c r="B20" s="17" t="n">
        <v>2</v>
      </c>
      <c r="C20" s="17" t="n">
        <v>2</v>
      </c>
      <c r="D20" s="24" t="inlineStr">
        <is>
          <t>PE[1][0]</t>
        </is>
      </c>
      <c r="E20" s="24" t="inlineStr">
        <is>
          <t>2 × 7 = 14</t>
        </is>
      </c>
      <c r="F20" s="35" t="inlineStr">
        <is>
          <t>PE[1][1]</t>
        </is>
      </c>
      <c r="G20" s="35" t="inlineStr">
        <is>
          <t>2 × 8 = 16</t>
        </is>
      </c>
    </row>
    <row r="21" ht="20" customHeight="1">
      <c r="A21" s="10" t="inlineStr">
        <is>
          <t>A[1][0]</t>
        </is>
      </c>
      <c r="B21" s="12" t="n">
        <v>3</v>
      </c>
      <c r="C21" s="12" t="n">
        <v>3</v>
      </c>
      <c r="D21" s="24" t="inlineStr">
        <is>
          <t>PE[0][0]</t>
        </is>
      </c>
      <c r="E21" s="24" t="inlineStr">
        <is>
          <t>3 × 5 = 15</t>
        </is>
      </c>
      <c r="F21" s="35" t="inlineStr">
        <is>
          <t>PE[0][1]</t>
        </is>
      </c>
      <c r="G21" s="35" t="inlineStr">
        <is>
          <t>3 × 6 = 18</t>
        </is>
      </c>
    </row>
    <row r="22" ht="20" customHeight="1">
      <c r="A22" s="15" t="inlineStr">
        <is>
          <t>A[1][1]</t>
        </is>
      </c>
      <c r="B22" s="17" t="n">
        <v>4</v>
      </c>
      <c r="C22" s="17" t="n">
        <v>4</v>
      </c>
      <c r="D22" s="24" t="inlineStr">
        <is>
          <t>PE[1][0]</t>
        </is>
      </c>
      <c r="E22" s="24" t="inlineStr">
        <is>
          <t>4 × 7 = 28</t>
        </is>
      </c>
      <c r="F22" s="35" t="inlineStr">
        <is>
          <t>PE[1][1]</t>
        </is>
      </c>
      <c r="G22" s="35" t="inlineStr">
        <is>
          <t>4 × 8 = 32</t>
        </is>
      </c>
    </row>
    <row r="23" ht="24" customHeight="1">
      <c r="A23" s="20" t="inlineStr">
        <is>
          <t>Each input value is fetched ONCE from off-chip and used by 2 PEs  →  reuse factor = 2×</t>
        </is>
      </c>
    </row>
    <row r="24" ht="20" customHeight="1"/>
    <row r="25" ht="20" customHeight="1"/>
    <row r="26" ht="20" customHeight="1">
      <c r="A26" s="2" t="inlineStr">
        <is>
          <t>(c)  Off-Chip Memory Accesses</t>
        </is>
      </c>
    </row>
    <row r="27" ht="20" customHeight="1">
      <c r="A27" s="36" t="inlineStr">
        <is>
          <t>A  —  Input reads  (fetched during streaming)</t>
        </is>
      </c>
    </row>
    <row r="28" ht="20" customHeight="1">
      <c r="A28" s="10" t="inlineStr">
        <is>
          <t>Element</t>
        </is>
      </c>
      <c r="B28" s="10" t="inlineStr">
        <is>
          <t>Value</t>
        </is>
      </c>
      <c r="C28" s="10" t="inlineStr">
        <is>
          <t>Fetched at cycle</t>
        </is>
      </c>
      <c r="D28" s="10" t="inlineStr">
        <is>
          <t>PE(s) served</t>
        </is>
      </c>
      <c r="E28" s="10" t="inlineStr">
        <is>
          <t>Access type</t>
        </is>
      </c>
      <c r="F28" s="10" t="inlineStr">
        <is>
          <t>Count</t>
        </is>
      </c>
      <c r="G28" s="10" t="inlineStr"/>
    </row>
    <row r="29" ht="20" customHeight="1">
      <c r="A29" s="10" t="inlineStr">
        <is>
          <t>A[0][0]</t>
        </is>
      </c>
      <c r="B29" s="12" t="n">
        <v>1</v>
      </c>
      <c r="C29" s="12" t="n">
        <v>1</v>
      </c>
      <c r="D29" s="12" t="inlineStr">
        <is>
          <t>PE[0][0], PE[0][1]</t>
        </is>
      </c>
      <c r="E29" s="37" t="inlineStr">
        <is>
          <t>off-chip read</t>
        </is>
      </c>
      <c r="F29" s="6" t="n">
        <v>1</v>
      </c>
      <c r="G29" s="12" t="inlineStr"/>
    </row>
    <row r="30" ht="20" customHeight="1">
      <c r="A30" s="15" t="inlineStr">
        <is>
          <t>A[0][1]</t>
        </is>
      </c>
      <c r="B30" s="17" t="n">
        <v>2</v>
      </c>
      <c r="C30" s="17" t="n">
        <v>2</v>
      </c>
      <c r="D30" s="17" t="inlineStr">
        <is>
          <t>PE[1][0], PE[1][1]</t>
        </is>
      </c>
      <c r="E30" s="37" t="inlineStr">
        <is>
          <t>off-chip read</t>
        </is>
      </c>
      <c r="F30" s="6" t="n">
        <v>1</v>
      </c>
      <c r="G30" s="17" t="inlineStr"/>
    </row>
    <row r="31" ht="20" customHeight="1">
      <c r="A31" s="10" t="inlineStr">
        <is>
          <t>A[1][0]</t>
        </is>
      </c>
      <c r="B31" s="12" t="n">
        <v>3</v>
      </c>
      <c r="C31" s="12" t="n">
        <v>3</v>
      </c>
      <c r="D31" s="12" t="inlineStr">
        <is>
          <t>PE[0][0], PE[0][1]</t>
        </is>
      </c>
      <c r="E31" s="37" t="inlineStr">
        <is>
          <t>off-chip read</t>
        </is>
      </c>
      <c r="F31" s="6" t="n">
        <v>1</v>
      </c>
      <c r="G31" s="12" t="inlineStr"/>
    </row>
    <row r="32" ht="20" customHeight="1">
      <c r="A32" s="15" t="inlineStr">
        <is>
          <t>A[1][1]</t>
        </is>
      </c>
      <c r="B32" s="17" t="n">
        <v>4</v>
      </c>
      <c r="C32" s="17" t="n">
        <v>4</v>
      </c>
      <c r="D32" s="17" t="inlineStr">
        <is>
          <t>PE[1][0], PE[1][1]</t>
        </is>
      </c>
      <c r="E32" s="37" t="inlineStr">
        <is>
          <t>off-chip read</t>
        </is>
      </c>
      <c r="F32" s="6" t="n">
        <v>1</v>
      </c>
      <c r="G32" s="17" t="inlineStr"/>
    </row>
    <row r="33" ht="20" customHeight="1">
      <c r="A33" s="36" t="inlineStr">
        <is>
          <t>A subtotal:</t>
        </is>
      </c>
      <c r="F33" s="19">
        <f>SUM(F29:F32)</f>
        <v/>
      </c>
      <c r="G33" s="24" t="inlineStr">
        <is>
          <t>reads</t>
        </is>
      </c>
    </row>
    <row r="34" ht="20" customHeight="1"/>
    <row r="35" ht="20" customHeight="1">
      <c r="A35" s="36" t="inlineStr">
        <is>
          <t>B  —  Weight preloads  (loaded once before compute begins)</t>
        </is>
      </c>
    </row>
    <row r="36" ht="20" customHeight="1">
      <c r="A36" s="10" t="inlineStr">
        <is>
          <t>Element</t>
        </is>
      </c>
      <c r="B36" s="10" t="inlineStr">
        <is>
          <t>Value</t>
        </is>
      </c>
      <c r="C36" s="10" t="inlineStr">
        <is>
          <t>Loaded into PE</t>
        </is>
      </c>
      <c r="D36" s="10" t="inlineStr">
        <is>
          <t>Re-fetched during compute?</t>
        </is>
      </c>
      <c r="E36" s="10" t="inlineStr">
        <is>
          <t>Access type</t>
        </is>
      </c>
      <c r="F36" s="10" t="inlineStr">
        <is>
          <t>Count</t>
        </is>
      </c>
      <c r="G36" s="10" t="inlineStr"/>
    </row>
    <row r="37" ht="20" customHeight="1">
      <c r="A37" s="10" t="inlineStr">
        <is>
          <t>B[0][0]</t>
        </is>
      </c>
      <c r="B37" s="12" t="n">
        <v>5</v>
      </c>
      <c r="C37" s="12" t="inlineStr">
        <is>
          <t>PE[0][0]</t>
        </is>
      </c>
      <c r="D37" s="38" t="inlineStr">
        <is>
          <t>No — stays fixed</t>
        </is>
      </c>
      <c r="E37" s="37" t="inlineStr">
        <is>
          <t>off-chip read (preload)</t>
        </is>
      </c>
      <c r="F37" s="6" t="n">
        <v>1</v>
      </c>
      <c r="G37" s="12" t="inlineStr"/>
    </row>
    <row r="38" ht="20" customHeight="1">
      <c r="A38" s="15" t="inlineStr">
        <is>
          <t>B[0][1]</t>
        </is>
      </c>
      <c r="B38" s="17" t="n">
        <v>6</v>
      </c>
      <c r="C38" s="17" t="inlineStr">
        <is>
          <t>PE[0][1]</t>
        </is>
      </c>
      <c r="D38" s="38" t="inlineStr">
        <is>
          <t>No — stays fixed</t>
        </is>
      </c>
      <c r="E38" s="37" t="inlineStr">
        <is>
          <t>off-chip read (preload)</t>
        </is>
      </c>
      <c r="F38" s="6" t="n">
        <v>1</v>
      </c>
      <c r="G38" s="17" t="inlineStr"/>
    </row>
    <row r="39" ht="20" customHeight="1">
      <c r="A39" s="10" t="inlineStr">
        <is>
          <t>B[1][0]</t>
        </is>
      </c>
      <c r="B39" s="12" t="n">
        <v>7</v>
      </c>
      <c r="C39" s="12" t="inlineStr">
        <is>
          <t>PE[1][0]</t>
        </is>
      </c>
      <c r="D39" s="38" t="inlineStr">
        <is>
          <t>No — stays fixed</t>
        </is>
      </c>
      <c r="E39" s="37" t="inlineStr">
        <is>
          <t>off-chip read (preload)</t>
        </is>
      </c>
      <c r="F39" s="6" t="n">
        <v>1</v>
      </c>
      <c r="G39" s="12" t="inlineStr"/>
    </row>
    <row r="40" ht="20" customHeight="1">
      <c r="A40" s="15" t="inlineStr">
        <is>
          <t>B[1][1]</t>
        </is>
      </c>
      <c r="B40" s="17" t="n">
        <v>8</v>
      </c>
      <c r="C40" s="17" t="inlineStr">
        <is>
          <t>PE[1][1]</t>
        </is>
      </c>
      <c r="D40" s="38" t="inlineStr">
        <is>
          <t>No — stays fixed</t>
        </is>
      </c>
      <c r="E40" s="37" t="inlineStr">
        <is>
          <t>off-chip read (preload)</t>
        </is>
      </c>
      <c r="F40" s="6" t="n">
        <v>1</v>
      </c>
      <c r="G40" s="17" t="inlineStr"/>
    </row>
    <row r="41" ht="20" customHeight="1">
      <c r="A41" s="36" t="inlineStr">
        <is>
          <t>B subtotal:</t>
        </is>
      </c>
      <c r="F41" s="19">
        <f>SUM(F37:F40)</f>
        <v/>
      </c>
      <c r="G41" s="24" t="inlineStr">
        <is>
          <t>reads</t>
        </is>
      </c>
    </row>
    <row r="42" ht="20" customHeight="1"/>
    <row r="43" ht="20" customHeight="1">
      <c r="A43" s="36" t="inlineStr">
        <is>
          <t>C  —  Output writes  (written when bottom row produces result)</t>
        </is>
      </c>
    </row>
    <row r="44" ht="20" customHeight="1">
      <c r="A44" s="10" t="inlineStr">
        <is>
          <t>Element</t>
        </is>
      </c>
      <c r="B44" s="10" t="inlineStr">
        <is>
          <t>Value</t>
        </is>
      </c>
      <c r="C44" s="10" t="inlineStr">
        <is>
          <t>Written at cycle</t>
        </is>
      </c>
      <c r="D44" s="10" t="inlineStr">
        <is>
          <t>Produced by</t>
        </is>
      </c>
      <c r="E44" s="10" t="inlineStr">
        <is>
          <t>Access type</t>
        </is>
      </c>
      <c r="F44" s="10" t="inlineStr">
        <is>
          <t>Count</t>
        </is>
      </c>
      <c r="G44" s="10" t="inlineStr"/>
    </row>
    <row r="45" ht="20" customHeight="1">
      <c r="A45" s="10" t="inlineStr">
        <is>
          <t>C[0][0]</t>
        </is>
      </c>
      <c r="B45" s="14" t="n">
        <v>19</v>
      </c>
      <c r="C45" s="12" t="n">
        <v>2</v>
      </c>
      <c r="D45" s="12" t="inlineStr">
        <is>
          <t>PE[1][0]</t>
        </is>
      </c>
      <c r="E45" s="37" t="inlineStr">
        <is>
          <t>off-chip write</t>
        </is>
      </c>
      <c r="F45" s="6" t="n">
        <v>1</v>
      </c>
      <c r="G45" s="12" t="inlineStr"/>
    </row>
    <row r="46" ht="20" customHeight="1">
      <c r="A46" s="15" t="inlineStr">
        <is>
          <t>C[0][1]</t>
        </is>
      </c>
      <c r="B46" s="14" t="n">
        <v>22</v>
      </c>
      <c r="C46" s="17" t="n">
        <v>2</v>
      </c>
      <c r="D46" s="17" t="inlineStr">
        <is>
          <t>PE[1][1]</t>
        </is>
      </c>
      <c r="E46" s="37" t="inlineStr">
        <is>
          <t>off-chip write</t>
        </is>
      </c>
      <c r="F46" s="6" t="n">
        <v>1</v>
      </c>
      <c r="G46" s="17" t="inlineStr"/>
    </row>
    <row r="47" ht="20" customHeight="1">
      <c r="A47" s="10" t="inlineStr">
        <is>
          <t>C[1][0]</t>
        </is>
      </c>
      <c r="B47" s="14" t="n">
        <v>43</v>
      </c>
      <c r="C47" s="12" t="n">
        <v>4</v>
      </c>
      <c r="D47" s="12" t="inlineStr">
        <is>
          <t>PE[1][0]</t>
        </is>
      </c>
      <c r="E47" s="37" t="inlineStr">
        <is>
          <t>off-chip write</t>
        </is>
      </c>
      <c r="F47" s="6" t="n">
        <v>1</v>
      </c>
      <c r="G47" s="12" t="inlineStr"/>
    </row>
    <row r="48" ht="20" customHeight="1">
      <c r="A48" s="15" t="inlineStr">
        <is>
          <t>C[1][1]</t>
        </is>
      </c>
      <c r="B48" s="14" t="n">
        <v>50</v>
      </c>
      <c r="C48" s="17" t="n">
        <v>4</v>
      </c>
      <c r="D48" s="17" t="inlineStr">
        <is>
          <t>PE[1][1]</t>
        </is>
      </c>
      <c r="E48" s="37" t="inlineStr">
        <is>
          <t>off-chip write</t>
        </is>
      </c>
      <c r="F48" s="6" t="n">
        <v>1</v>
      </c>
      <c r="G48" s="17" t="inlineStr"/>
    </row>
    <row r="49" ht="20" customHeight="1">
      <c r="A49" s="36" t="inlineStr">
        <is>
          <t>C subtotal:</t>
        </is>
      </c>
      <c r="F49" s="19">
        <f>SUM(F45:F48)</f>
        <v/>
      </c>
      <c r="G49" s="24" t="inlineStr">
        <is>
          <t>writes</t>
        </is>
      </c>
    </row>
    <row r="50" ht="20" customHeight="1"/>
    <row r="51" ht="28" customHeight="1">
      <c r="A51" s="20" t="inlineStr">
        <is>
          <t>GRAND TOTAL off-chip accesses:</t>
        </is>
      </c>
      <c r="F51" s="39">
        <f>F33+F41+F49</f>
        <v/>
      </c>
      <c r="G51" s="14" t="inlineStr">
        <is>
          <t>total</t>
        </is>
      </c>
    </row>
    <row r="52" ht="22" customHeight="1">
      <c r="A52" s="28">
        <f> 4 (A reads) + 4 (B preloads) + 4 (C writes) = 12  — B never re-fetched during compute (weight-stationary advantage)</f>
        <v/>
      </c>
    </row>
    <row r="53" ht="20" customHeight="1"/>
    <row r="54" ht="20" customHeight="1"/>
    <row r="55" ht="20" customHeight="1">
      <c r="A55" s="2" t="inlineStr">
        <is>
          <t>(d)  Output-Stationary: What would stay fixed?</t>
        </is>
      </c>
    </row>
    <row r="56" ht="50" customHeight="1">
      <c r="A56" s="23" t="inlineStr">
        <is>
          <t>In output-stationary dataflow, the partial sum for each output element C[i][j] stays fixed inside its dedicated PE, while both the A row elements and B column elements stream through — so the accumulated output values (partial sums) would be stationary rather than the weights.</t>
        </is>
      </c>
    </row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</sheetData>
  <mergeCells count="17">
    <mergeCell ref="A14:G14"/>
    <mergeCell ref="A1:G1"/>
    <mergeCell ref="A17:G17"/>
    <mergeCell ref="A56:G56"/>
    <mergeCell ref="A13:F13"/>
    <mergeCell ref="A27:G27"/>
    <mergeCell ref="A3:G3"/>
    <mergeCell ref="A55:G55"/>
    <mergeCell ref="A35:G35"/>
    <mergeCell ref="A33:E33"/>
    <mergeCell ref="A41:E41"/>
    <mergeCell ref="A26:G26"/>
    <mergeCell ref="A49:E49"/>
    <mergeCell ref="A51:E51"/>
    <mergeCell ref="A52:G52"/>
    <mergeCell ref="A43:G43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2026-04-29T22:03:12Z</dcterms:created>
  <dcterms:modified xmlns:dcterms="http://purl.org/dc/terms/" xmlns:xsi="http://www.w3.org/2001/XMLSchema-instance" xsi:type="dcterms:W3CDTF">2026-04-29T22:03:12Z</dcterms:modified>
</cp:coreProperties>
</file>